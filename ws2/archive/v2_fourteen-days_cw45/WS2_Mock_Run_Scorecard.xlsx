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Summary" sheetId="2" state="visible" r:id="rId2"/>
    <sheet xmlns:r="http://schemas.openxmlformats.org/officeDocument/2006/relationships" name="Room A" sheetId="3" state="visible" r:id="rId3"/>
    <sheet xmlns:r="http://schemas.openxmlformats.org/officeDocument/2006/relationships" name="Room B" sheetId="4" state="visible" r:id="rId4"/>
    <sheet xmlns:r="http://schemas.openxmlformats.org/officeDocument/2006/relationships" name="Timing log" sheetId="5" state="visible" r:id="rId5"/>
    <sheet xmlns:r="http://schemas.openxmlformats.org/officeDocument/2006/relationships" name="Injections" sheetId="6" state="visible" r:id="rId6"/>
    <sheet xmlns:r="http://schemas.openxmlformats.org/officeDocument/2006/relationships" name="Defect log"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2201E"/>
      <sz val="14"/>
    </font>
    <font>
      <name val="Arial"/>
      <i val="1"/>
      <color rgb="004A5C59"/>
      <sz val="10"/>
    </font>
    <font>
      <name val="Arial"/>
      <b val="1"/>
      <color rgb="0012201E"/>
      <sz val="10"/>
    </font>
    <font>
      <name val="Arial"/>
      <color rgb="0012201E"/>
      <sz val="10"/>
    </font>
    <font>
      <name val="Arial"/>
      <b val="1"/>
      <color rgb="0012201E"/>
      <sz val="11"/>
    </font>
    <font>
      <name val="Arial"/>
      <b val="1"/>
      <color rgb="00FFFFFF"/>
      <sz val="10"/>
    </font>
    <font>
      <name val="Arial"/>
      <color rgb="000000FF"/>
      <sz val="10"/>
    </font>
    <font>
      <name val="Arial"/>
      <color rgb="00008000"/>
      <sz val="10"/>
    </font>
  </fonts>
  <fills count="5">
    <fill>
      <patternFill/>
    </fill>
    <fill>
      <patternFill patternType="gray125"/>
    </fill>
    <fill>
      <patternFill patternType="solid">
        <fgColor rgb="00FFF2A8"/>
      </patternFill>
    </fill>
    <fill>
      <patternFill patternType="solid">
        <fgColor rgb="000B6E63"/>
      </patternFill>
    </fill>
    <fill>
      <patternFill patternType="solid">
        <fgColor rgb="00E5ECEA"/>
      </patternFill>
    </fill>
  </fills>
  <borders count="2">
    <border>
      <left/>
      <right/>
      <top/>
      <bottom/>
      <diagonal/>
    </border>
    <border>
      <left style="thin">
        <color rgb="00C8D5D1"/>
      </left>
      <right style="thin">
        <color rgb="00C8D5D1"/>
      </right>
      <top style="thin">
        <color rgb="00C8D5D1"/>
      </top>
      <bottom style="thin">
        <color rgb="00C8D5D1"/>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1" applyAlignment="1" pivotButton="0" quotePrefix="0" xfId="0">
      <alignment vertical="center" wrapText="1"/>
    </xf>
    <xf numFmtId="0" fontId="3" fillId="0" borderId="1" applyAlignment="1" pivotButton="0" quotePrefix="0" xfId="0">
      <alignment vertical="top" wrapText="1"/>
    </xf>
    <xf numFmtId="0" fontId="8" fillId="0" borderId="1" pivotButton="0" quotePrefix="0" xfId="0"/>
    <xf numFmtId="164" fontId="8" fillId="0" borderId="1" pivotButton="0" quotePrefix="0" xfId="0"/>
    <xf numFmtId="0" fontId="5" fillId="4" borderId="0" pivotButton="0" quotePrefix="0" xfId="0"/>
    <xf numFmtId="0" fontId="4" fillId="2" borderId="1" applyAlignment="1" pivotButton="0" quotePrefix="0" xfId="0">
      <alignment vertical="top" wrapText="1"/>
    </xf>
    <xf numFmtId="0" fontId="3" fillId="4" borderId="0" pivotButton="0" quotePrefix="0" xfId="0"/>
    <xf numFmtId="164" fontId="3" fillId="4" borderId="0" pivotButton="0" quotePrefix="0" xfId="0"/>
    <xf numFmtId="0" fontId="7" fillId="0" borderId="1" applyAlignment="1" pivotButton="0" quotePrefix="0" xfId="0">
      <alignment vertical="top" wrapText="1"/>
    </xf>
    <xf numFmtId="0" fontId="4" fillId="0" borderId="1" pivotButton="0" quotePrefix="0" xfId="0"/>
    <xf numFmtId="0" fontId="4" fillId="2" borderId="1" pivotButton="0" quotePrefix="0" xfId="0"/>
    <xf numFmtId="0" fontId="0" fillId="2" borderId="1" pivotButton="0" quotePrefix="0" xfId="0"/>
    <xf numFmtId="0" fontId="4" fillId="0" borderId="1" applyAlignment="1" pivotButton="0" quotePrefix="0" xfId="0">
      <alignment vertical="top" wrapText="1"/>
    </xf>
  </cellXfs>
  <cellStyles count="1">
    <cellStyle name="Normal" xfId="0" builtinId="0" hidden="0"/>
  </cellStyles>
  <dxfs count="1">
    <dxf>
      <fill>
        <patternFill patternType="solid">
          <fgColor rgb="00F5DC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6" customWidth="1" min="1" max="1"/>
    <col width="90" customWidth="1" min="2" max="2"/>
  </cols>
  <sheetData>
    <row r="1">
      <c r="A1" s="1" t="inlineStr">
        <is>
          <t>WS2 mock run · observer workbook</t>
        </is>
      </c>
    </row>
    <row r="2">
      <c r="A2" s="2" t="inlineStr">
        <is>
          <t>Pain to Pilot kit · draft v0.1 · one workbook per mock run, shared by all observers</t>
        </is>
      </c>
    </row>
    <row r="4">
      <c r="A4" s="3" t="inlineStr">
        <is>
          <t>Yellow cells</t>
        </is>
      </c>
      <c r="B4" s="4" t="inlineStr">
        <is>
          <t>Fill these in. Every other cell is a label or a formula.</t>
        </is>
      </c>
    </row>
    <row r="5">
      <c r="A5" s="3" t="inlineStr">
        <is>
          <t>Room A, Room B</t>
        </is>
      </c>
      <c r="B5" s="4" t="inlineStr">
        <is>
          <t>One scorecard per room: 12 items scored 1–5 with the minute and the evidence, plus the six pass criteria (Yes / No).</t>
        </is>
      </c>
    </row>
    <row r="6">
      <c r="A6" s="3" t="inlineStr">
        <is>
          <t>Score anchors</t>
        </is>
      </c>
      <c r="B6" s="4" t="inlineStr">
        <is>
          <t>1 = did not happen or needed rescue · 3 = happened late or partly · 5 = happened on time without prompting.</t>
        </is>
      </c>
    </row>
    <row r="7">
      <c r="A7" s="3" t="inlineStr">
        <is>
          <t>Timing log</t>
        </is>
      </c>
      <c r="B7" s="4" t="inlineStr">
        <is>
          <t>Enter the minute each stage actually ended. Overruns of more than 3 minutes turn red.</t>
        </is>
      </c>
    </row>
    <row r="8">
      <c r="A8" s="3" t="inlineStr">
        <is>
          <t>Injections</t>
        </is>
      </c>
      <c r="B8" s="4" t="inlineStr">
        <is>
          <t>The producer marks each injected failure as fired; the observer records whether the room recovered without help.</t>
        </is>
      </c>
    </row>
    <row r="9">
      <c r="A9" s="3" t="inlineStr">
        <is>
          <t>Defect log</t>
        </is>
      </c>
      <c r="B9" s="4" t="inlineStr">
        <is>
          <t>One row per defect. Severity S1 blocks the outcome, S2 degrades quality or timing, S3 is cosmetic or wording.</t>
        </is>
      </c>
    </row>
    <row r="10">
      <c r="A10" s="3" t="inlineStr">
        <is>
          <t>Summary</t>
        </is>
      </c>
      <c r="B10" s="4" t="inlineStr">
        <is>
          <t>Calculated. Shows the score bar, pass criteria and whether a retest is needed.</t>
        </is>
      </c>
    </row>
    <row r="11">
      <c r="A11" s="3" t="inlineStr">
        <is>
          <t>Score bar</t>
        </is>
      </c>
      <c r="B11" s="4" t="inlineStr">
        <is>
          <t>Proposed, not yet agreed by WS2: average of at least 3.5 per room and no item scored 1.</t>
        </is>
      </c>
    </row>
    <row r="12">
      <c r="A12" s="3" t="inlineStr">
        <is>
          <t>Retest trigger</t>
        </is>
      </c>
      <c r="B12" s="4" t="inlineStr">
        <is>
          <t>Any S1 defect or any pass criterion not met: retest the changed part at the facilitator dry run.</t>
        </is>
      </c>
    </row>
    <row r="15">
      <c r="A15" s="5" t="inlineStr">
        <is>
          <t>Example rows (format only)</t>
        </is>
      </c>
    </row>
    <row r="16">
      <c r="A16" s="3" t="inlineStr">
        <is>
          <t>Scorecard</t>
        </is>
      </c>
      <c r="B16" s="2" t="inlineStr">
        <is>
          <t>Item 3 · Score 3 · Minute 18 · “Baseline written as ‘2–4 h/week, room estimate’ only after the facilitator asked twice.”</t>
        </is>
      </c>
    </row>
    <row r="17">
      <c r="A17" s="3" t="inlineStr">
        <is>
          <t>Defect log</t>
        </is>
      </c>
      <c r="B17" s="2" t="inlineStr">
        <is>
          <t>D01 · Room A · Frame the pain · Room debated whether status reports are a real pain until minute 11 · S2 · Card does not say the pain is given · Add “the pain is given; choose the slice” to the Orient script · WS2 · Retest at facilitator dry run ·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44" customWidth="1" min="1" max="1"/>
    <col width="18" customWidth="1" min="2" max="2"/>
    <col width="18" customWidth="1" min="3" max="3"/>
  </cols>
  <sheetData>
    <row r="1">
      <c r="A1" s="1" t="inlineStr">
        <is>
          <t>Mock run summary</t>
        </is>
      </c>
    </row>
    <row r="2">
      <c r="A2" s="2" t="inlineStr">
        <is>
          <t>Calculated from the other sheets. Nothing to fill in here.</t>
        </is>
      </c>
    </row>
    <row r="4">
      <c r="A4" s="6" t="inlineStr">
        <is>
          <t>Measure</t>
        </is>
      </c>
      <c r="B4" s="6" t="inlineStr">
        <is>
          <t>Room A</t>
        </is>
      </c>
      <c r="C4" s="6" t="inlineStr">
        <is>
          <t>Room B</t>
        </is>
      </c>
    </row>
    <row r="5">
      <c r="A5" s="7" t="inlineStr">
        <is>
          <t>Items scored (of 12)</t>
        </is>
      </c>
      <c r="B5" s="8">
        <f>'Room A'!C21</f>
        <v/>
      </c>
      <c r="C5" s="8">
        <f>'Room B'!C21</f>
        <v/>
      </c>
    </row>
    <row r="6">
      <c r="A6" s="7" t="inlineStr">
        <is>
          <t>Average score</t>
        </is>
      </c>
      <c r="B6" s="9">
        <f>'Room A'!C22</f>
        <v/>
      </c>
      <c r="C6" s="9">
        <f>'Room B'!C22</f>
        <v/>
      </c>
    </row>
    <row r="7">
      <c r="A7" s="7" t="inlineStr">
        <is>
          <t>Items scored 1</t>
        </is>
      </c>
      <c r="B7" s="8">
        <f>'Room A'!C23</f>
        <v/>
      </c>
      <c r="C7" s="8">
        <f>'Room B'!C23</f>
        <v/>
      </c>
    </row>
    <row r="8">
      <c r="A8" s="7" t="inlineStr">
        <is>
          <t>Meets score bar</t>
        </is>
      </c>
      <c r="B8" s="8">
        <f>'Room A'!C24</f>
        <v/>
      </c>
      <c r="C8" s="8">
        <f>'Room B'!C24</f>
        <v/>
      </c>
    </row>
    <row r="9">
      <c r="A9" s="7" t="inlineStr">
        <is>
          <t>Pass criteria</t>
        </is>
      </c>
      <c r="B9" s="8">
        <f>'Room A'!C34</f>
        <v/>
      </c>
      <c r="C9" s="8">
        <f>'Room B'!C34</f>
        <v/>
      </c>
    </row>
    <row r="10">
      <c r="A10" s="7" t="inlineStr">
        <is>
          <t>Stages overrunning by more than 3 minutes</t>
        </is>
      </c>
      <c r="B10" s="8">
        <f>COUNTIF('Timing log'!F5:F10,"&gt;3")</f>
        <v/>
      </c>
      <c r="C10" s="8">
        <f>COUNTIF('Timing log'!H5:H10,"&gt;3")</f>
        <v/>
      </c>
    </row>
    <row r="11">
      <c r="A11" s="7" t="inlineStr">
        <is>
          <t>Injections recovered without help</t>
        </is>
      </c>
      <c r="B11" s="8">
        <f>COUNTIFS(Injections!A5:A14,"A",Injections!F5:F14,"Yes")&amp;" of 5"</f>
        <v/>
      </c>
      <c r="C11" s="8">
        <f>COUNTIFS(Injections!A5:A14,"B",Injections!F5:F14,"Yes")&amp;" of 5"</f>
        <v/>
      </c>
    </row>
    <row r="13">
      <c r="A13" s="6" t="inlineStr">
        <is>
          <t>Defects</t>
        </is>
      </c>
      <c r="B13" s="6" t="inlineStr">
        <is>
          <t>Total</t>
        </is>
      </c>
      <c r="C13" s="6" t="inlineStr">
        <is>
          <t>Not yet fixed</t>
        </is>
      </c>
    </row>
    <row r="14">
      <c r="A14" s="7" t="inlineStr">
        <is>
          <t>S1</t>
        </is>
      </c>
      <c r="B14" s="8">
        <f>COUNTIF('Defect log'!E5:E44,"S1")</f>
        <v/>
      </c>
      <c r="C14" s="8">
        <f>COUNTIFS('Defect log'!E5:E44,"S1",'Defect log'!J5:J44,"&lt;&gt;Fixed",'Defect log'!J5:J44,"&lt;&gt;Retested")</f>
        <v/>
      </c>
    </row>
    <row r="15">
      <c r="A15" s="7" t="inlineStr">
        <is>
          <t>S2</t>
        </is>
      </c>
      <c r="B15" s="8">
        <f>COUNTIF('Defect log'!E5:E44,"S2")</f>
        <v/>
      </c>
      <c r="C15" s="8">
        <f>COUNTIFS('Defect log'!E5:E44,"S2",'Defect log'!J5:J44,"&lt;&gt;Fixed",'Defect log'!J5:J44,"&lt;&gt;Retested")</f>
        <v/>
      </c>
    </row>
    <row r="16">
      <c r="A16" s="7" t="inlineStr">
        <is>
          <t>S3</t>
        </is>
      </c>
      <c r="B16" s="8">
        <f>COUNTIF('Defect log'!E5:E44,"S3")</f>
        <v/>
      </c>
      <c r="C16" s="8">
        <f>COUNTIFS('Defect log'!E5:E44,"S3",'Defect log'!J5:J44,"&lt;&gt;Fixed",'Defect log'!J5:J44,"&lt;&gt;Retested")</f>
        <v/>
      </c>
    </row>
    <row r="18">
      <c r="A18" s="5" t="inlineStr">
        <is>
          <t>Retest needed?</t>
        </is>
      </c>
      <c r="B18" s="10">
        <f>IF(OR(B14&gt;0,B9&lt;&gt;"Pass",C9&lt;&gt;"Pass"),"Yes: retest at the facilitator dry run","No")</f>
        <v/>
      </c>
    </row>
    <row r="19">
      <c r="A19" s="2" t="inlineStr">
        <is>
          <t>Retest trigger: any S1 defect or any pass criterion not met in either room.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showGridLines="0" workbookViewId="0">
      <pane ySplit="7" topLeftCell="A8" activePane="bottomLeft" state="frozen"/>
      <selection pane="bottomLeft" activeCell="A1" sqref="A1"/>
    </sheetView>
  </sheetViews>
  <sheetFormatPr baseColWidth="8" defaultRowHeight="15"/>
  <cols>
    <col width="6" customWidth="1" min="1" max="1"/>
    <col width="58" customWidth="1" min="2" max="2"/>
    <col width="11" customWidth="1" min="3" max="3"/>
    <col width="10" customWidth="1" min="4" max="4"/>
    <col width="60" customWidth="1" min="5" max="5"/>
  </cols>
  <sheetData>
    <row r="1">
      <c r="A1" s="1" t="inlineStr">
        <is>
          <t>Room A · observer scorecard</t>
        </is>
      </c>
    </row>
    <row r="2">
      <c r="A2" s="2" t="inlineStr">
        <is>
          <t>Card C1 Status Report Treadmill, given · experienced facilitator · 7–8 participants · approved tool available</t>
        </is>
      </c>
    </row>
    <row r="3">
      <c r="A3" s="3" t="inlineStr">
        <is>
          <t>Facilitator</t>
        </is>
      </c>
      <c r="B3" s="11" t="n"/>
    </row>
    <row r="4">
      <c r="A4" s="3" t="inlineStr">
        <is>
          <t>Observer</t>
        </is>
      </c>
      <c r="B4" s="11" t="n"/>
    </row>
    <row r="5">
      <c r="A5" s="3" t="inlineStr">
        <is>
          <t>Date</t>
        </is>
      </c>
      <c r="B5" s="11" t="n"/>
    </row>
    <row r="7">
      <c r="A7" s="6" t="inlineStr">
        <is>
          <t>#</t>
        </is>
      </c>
      <c r="B7" s="6" t="inlineStr">
        <is>
          <t>Item</t>
        </is>
      </c>
      <c r="C7" s="6" t="inlineStr">
        <is>
          <t>Score 1–5</t>
        </is>
      </c>
      <c r="D7" s="6" t="inlineStr">
        <is>
          <t>Minute</t>
        </is>
      </c>
      <c r="E7" s="6" t="inlineStr">
        <is>
          <t>Evidence</t>
        </is>
      </c>
    </row>
    <row r="8">
      <c r="A8" s="4" t="n">
        <v>1</v>
      </c>
      <c r="B8" s="4" t="inlineStr">
        <is>
          <t>Instructions understood without clarification</t>
        </is>
      </c>
      <c r="C8" s="11" t="n"/>
      <c r="D8" s="11" t="n"/>
      <c r="E8" s="11" t="n"/>
    </row>
    <row r="9">
      <c r="A9" s="4" t="n">
        <v>2</v>
      </c>
      <c r="B9" s="4" t="inlineStr">
        <is>
          <t>Card chosen (Room B) by minute 7; slice chosen (both rooms) by minute 15</t>
        </is>
      </c>
      <c r="C9" s="11" t="n"/>
      <c r="D9" s="11" t="n"/>
      <c r="E9" s="11" t="n"/>
    </row>
    <row r="10">
      <c r="A10" s="4" t="n">
        <v>3</v>
      </c>
      <c r="B10" s="4" t="inlineStr">
        <is>
          <t>Problem, user and baseline specific by minute 15</t>
        </is>
      </c>
      <c r="C10" s="11" t="n"/>
      <c r="D10" s="11" t="n"/>
      <c r="E10" s="11" t="n"/>
    </row>
    <row r="11">
      <c r="A11" s="4" t="n">
        <v>4</v>
      </c>
      <c r="B11" s="4" t="inlineStr">
        <is>
          <t>Human decision point explicit</t>
        </is>
      </c>
      <c r="C11" s="11" t="n"/>
      <c r="D11" s="11" t="n"/>
      <c r="E11" s="11" t="n"/>
    </row>
    <row r="12">
      <c r="A12" s="4" t="n">
        <v>5</v>
      </c>
      <c r="B12" s="4" t="inlineStr">
        <is>
          <t>AI flow understandable to a non-expert</t>
        </is>
      </c>
      <c r="C12" s="11" t="n"/>
      <c r="D12" s="11" t="n"/>
      <c r="E12" s="11" t="n"/>
    </row>
    <row r="13">
      <c r="A13" s="4" t="n">
        <v>6</v>
      </c>
      <c r="B13" s="4" t="inlineStr">
        <is>
          <t>Value metric observable</t>
        </is>
      </c>
      <c r="C13" s="11" t="n"/>
      <c r="D13" s="11" t="n"/>
      <c r="E13" s="11" t="n"/>
    </row>
    <row r="14">
      <c r="A14" s="4" t="n">
        <v>7</v>
      </c>
      <c r="B14" s="4" t="inlineStr">
        <is>
          <t>Data and governance risk considered</t>
        </is>
      </c>
      <c r="C14" s="11" t="n"/>
      <c r="D14" s="11" t="n"/>
      <c r="E14" s="11" t="n"/>
    </row>
    <row r="15">
      <c r="A15" s="4" t="n">
        <v>8</v>
      </c>
      <c r="B15" s="4" t="inlineStr">
        <is>
          <t>Owner and first test present</t>
        </is>
      </c>
      <c r="C15" s="11" t="n"/>
      <c r="D15" s="11" t="n"/>
      <c r="E15" s="11" t="n"/>
    </row>
    <row r="16">
      <c r="A16" s="4" t="n">
        <v>9</v>
      </c>
      <c r="B16" s="4" t="inlineStr">
        <is>
          <t>All voices included</t>
        </is>
      </c>
      <c r="C16" s="11" t="n"/>
      <c r="D16" s="11" t="n"/>
      <c r="E16" s="11" t="n"/>
    </row>
    <row r="17">
      <c r="A17" s="4" t="n">
        <v>10</v>
      </c>
      <c r="B17" s="4" t="inlineStr">
        <is>
          <t>Report-out completed within the limit</t>
        </is>
      </c>
      <c r="C17" s="11" t="n"/>
      <c r="D17" s="11" t="n"/>
      <c r="E17" s="11" t="n"/>
    </row>
    <row r="18">
      <c r="A18" s="4" t="n">
        <v>11</v>
      </c>
      <c r="B18" s="4" t="inlineStr">
        <is>
          <t>Trap test run and the result recorded (kit-specific)</t>
        </is>
      </c>
      <c r="C18" s="11" t="n"/>
      <c r="D18" s="11" t="n"/>
      <c r="E18" s="11" t="n"/>
    </row>
    <row r="19">
      <c r="A19" s="4" t="n">
        <v>12</v>
      </c>
      <c r="B19" s="4" t="inlineStr">
        <is>
          <t>Room recovered from each injected failure without observer help (kit-specific)</t>
        </is>
      </c>
      <c r="C19" s="11" t="n"/>
      <c r="D19" s="11" t="n"/>
      <c r="E19" s="11" t="n"/>
    </row>
    <row r="21">
      <c r="B21" s="3" t="inlineStr">
        <is>
          <t>Items scored</t>
        </is>
      </c>
      <c r="C21" s="12">
        <f>COUNT(C8:C19)</f>
        <v/>
      </c>
    </row>
    <row r="22">
      <c r="B22" s="3" t="inlineStr">
        <is>
          <t>Average score</t>
        </is>
      </c>
      <c r="C22" s="13">
        <f>IF(COUNT(C8:C19)=0,"",AVERAGE(C8:C19))</f>
        <v/>
      </c>
    </row>
    <row r="23">
      <c r="B23" s="3" t="inlineStr">
        <is>
          <t>Items scored 1</t>
        </is>
      </c>
      <c r="C23" s="12">
        <f>COUNTIF(C8:C19,1)</f>
        <v/>
      </c>
    </row>
    <row r="24">
      <c r="B24" s="3" t="inlineStr">
        <is>
          <t>Meets score bar (avg ≥ 3.5, no 1s)</t>
        </is>
      </c>
      <c r="C24" s="12">
        <f>IF(C21&lt;12,"Incomplete",IF(AND(C22&gt;=3.5,C23=0),"Yes","No"))</f>
        <v/>
      </c>
    </row>
    <row r="26">
      <c r="A26" s="6" t="inlineStr">
        <is>
          <t>#</t>
        </is>
      </c>
      <c r="B26" s="6" t="inlineStr">
        <is>
          <t>Pass criterion</t>
        </is>
      </c>
      <c r="C26" s="6" t="inlineStr">
        <is>
          <t>Yes / No</t>
        </is>
      </c>
      <c r="D26" s="6" t="inlineStr"/>
      <c r="E26" s="6" t="inlineStr">
        <is>
          <t>Evidence</t>
        </is>
      </c>
    </row>
    <row r="27">
      <c r="A27" s="4" t="n">
        <v>1</v>
      </c>
      <c r="B27" s="4" t="inlineStr">
        <is>
          <t>100% of the ten mandatory Pilot Pack fields completed</t>
        </is>
      </c>
      <c r="C27" s="11" t="n"/>
      <c r="E27" s="11" t="n"/>
    </row>
    <row r="28">
      <c r="A28" s="4" t="n">
        <v>2</v>
      </c>
      <c r="B28" s="4" t="inlineStr">
        <is>
          <t>Owner, first test, metric and guardrail explicit</t>
        </is>
      </c>
      <c r="C28" s="11" t="n"/>
      <c r="E28" s="11" t="n"/>
    </row>
    <row r="29">
      <c r="A29" s="4" t="n">
        <v>3</v>
      </c>
      <c r="B29" s="4" t="inlineStr">
        <is>
          <t>Facilitator did not need content expertise to finish</t>
        </is>
      </c>
      <c r="C29" s="11" t="n"/>
      <c r="E29" s="11" t="n"/>
    </row>
    <row r="30">
      <c r="A30" s="4" t="n">
        <v>4</v>
      </c>
      <c r="B30" s="4" t="inlineStr">
        <is>
          <t>Someone outside the room can read the pack in 3 minutes and restate it</t>
        </is>
      </c>
      <c r="C30" s="11" t="n"/>
      <c r="E30" s="11" t="n"/>
    </row>
    <row r="31">
      <c r="A31" s="4" t="n">
        <v>5</v>
      </c>
      <c r="B31" s="4" t="inlineStr">
        <is>
          <t>No unresolved confidentiality or tool-approval issue hidden</t>
        </is>
      </c>
      <c r="C31" s="11" t="n"/>
      <c r="E31" s="11" t="n"/>
    </row>
    <row r="32">
      <c r="A32" s="4" t="n">
        <v>6</v>
      </c>
      <c r="B32" s="4" t="inlineStr">
        <is>
          <t>Final recommendation produced inside the 60-minute slot</t>
        </is>
      </c>
      <c r="C32" s="11" t="n"/>
      <c r="E32" s="11" t="n"/>
    </row>
    <row r="34">
      <c r="B34" s="3" t="inlineStr">
        <is>
          <t>Pass criteria result</t>
        </is>
      </c>
      <c r="C34" s="12">
        <f>IF(COUNTA(C27:C32)&lt;6,"Incomplete",IF(COUNTIF(C27:C32,"Yes")=6,"Pass","Fail"))</f>
        <v/>
      </c>
    </row>
  </sheetData>
  <dataValidations count="2">
    <dataValidation sqref="C8 C9 C10 C11 C12 C13 C14 C15 C16 C17 C18 C19" showDropDown="0" showInputMessage="0" showErrorMessage="1" allowBlank="0" error="Enter a whole number from 1 to 5." type="whole" operator="between">
      <formula1>1</formula1>
      <formula2>5</formula2>
    </dataValidation>
    <dataValidation sqref="C27 C28 C29 C30 C31 C32"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showGridLines="0" workbookViewId="0">
      <pane ySplit="7" topLeftCell="A8" activePane="bottomLeft" state="frozen"/>
      <selection pane="bottomLeft" activeCell="A1" sqref="A1"/>
    </sheetView>
  </sheetViews>
  <sheetFormatPr baseColWidth="8" defaultRowHeight="15"/>
  <cols>
    <col width="6" customWidth="1" min="1" max="1"/>
    <col width="58" customWidth="1" min="2" max="2"/>
    <col width="11" customWidth="1" min="3" max="3"/>
    <col width="10" customWidth="1" min="4" max="4"/>
    <col width="60" customWidth="1" min="5" max="5"/>
  </cols>
  <sheetData>
    <row r="1">
      <c r="A1" s="1" t="inlineStr">
        <is>
          <t>Room B · observer scorecard</t>
        </is>
      </c>
    </row>
    <row r="2">
      <c r="A2" s="2" t="inlineStr">
        <is>
          <t>Choice of C2 or the broad draft swap card · first-time facilitator · 4–5 participants · tool fails at minute 27</t>
        </is>
      </c>
    </row>
    <row r="3">
      <c r="A3" s="3" t="inlineStr">
        <is>
          <t>Facilitator</t>
        </is>
      </c>
      <c r="B3" s="11" t="n"/>
    </row>
    <row r="4">
      <c r="A4" s="3" t="inlineStr">
        <is>
          <t>Observer</t>
        </is>
      </c>
      <c r="B4" s="11" t="n"/>
    </row>
    <row r="5">
      <c r="A5" s="3" t="inlineStr">
        <is>
          <t>Date</t>
        </is>
      </c>
      <c r="B5" s="11" t="n"/>
    </row>
    <row r="7">
      <c r="A7" s="6" t="inlineStr">
        <is>
          <t>#</t>
        </is>
      </c>
      <c r="B7" s="6" t="inlineStr">
        <is>
          <t>Item</t>
        </is>
      </c>
      <c r="C7" s="6" t="inlineStr">
        <is>
          <t>Score 1–5</t>
        </is>
      </c>
      <c r="D7" s="6" t="inlineStr">
        <is>
          <t>Minute</t>
        </is>
      </c>
      <c r="E7" s="6" t="inlineStr">
        <is>
          <t>Evidence</t>
        </is>
      </c>
    </row>
    <row r="8">
      <c r="A8" s="4" t="n">
        <v>1</v>
      </c>
      <c r="B8" s="4" t="inlineStr">
        <is>
          <t>Instructions understood without clarification</t>
        </is>
      </c>
      <c r="C8" s="11" t="n"/>
      <c r="D8" s="11" t="n"/>
      <c r="E8" s="11" t="n"/>
    </row>
    <row r="9">
      <c r="A9" s="4" t="n">
        <v>2</v>
      </c>
      <c r="B9" s="4" t="inlineStr">
        <is>
          <t>Card chosen (Room B) by minute 7; slice chosen (both rooms) by minute 15</t>
        </is>
      </c>
      <c r="C9" s="11" t="n"/>
      <c r="D9" s="11" t="n"/>
      <c r="E9" s="11" t="n"/>
    </row>
    <row r="10">
      <c r="A10" s="4" t="n">
        <v>3</v>
      </c>
      <c r="B10" s="4" t="inlineStr">
        <is>
          <t>Problem, user and baseline specific by minute 15</t>
        </is>
      </c>
      <c r="C10" s="11" t="n"/>
      <c r="D10" s="11" t="n"/>
      <c r="E10" s="11" t="n"/>
    </row>
    <row r="11">
      <c r="A11" s="4" t="n">
        <v>4</v>
      </c>
      <c r="B11" s="4" t="inlineStr">
        <is>
          <t>Human decision point explicit</t>
        </is>
      </c>
      <c r="C11" s="11" t="n"/>
      <c r="D11" s="11" t="n"/>
      <c r="E11" s="11" t="n"/>
    </row>
    <row r="12">
      <c r="A12" s="4" t="n">
        <v>5</v>
      </c>
      <c r="B12" s="4" t="inlineStr">
        <is>
          <t>AI flow understandable to a non-expert</t>
        </is>
      </c>
      <c r="C12" s="11" t="n"/>
      <c r="D12" s="11" t="n"/>
      <c r="E12" s="11" t="n"/>
    </row>
    <row r="13">
      <c r="A13" s="4" t="n">
        <v>6</v>
      </c>
      <c r="B13" s="4" t="inlineStr">
        <is>
          <t>Value metric observable</t>
        </is>
      </c>
      <c r="C13" s="11" t="n"/>
      <c r="D13" s="11" t="n"/>
      <c r="E13" s="11" t="n"/>
    </row>
    <row r="14">
      <c r="A14" s="4" t="n">
        <v>7</v>
      </c>
      <c r="B14" s="4" t="inlineStr">
        <is>
          <t>Data and governance risk considered</t>
        </is>
      </c>
      <c r="C14" s="11" t="n"/>
      <c r="D14" s="11" t="n"/>
      <c r="E14" s="11" t="n"/>
    </row>
    <row r="15">
      <c r="A15" s="4" t="n">
        <v>8</v>
      </c>
      <c r="B15" s="4" t="inlineStr">
        <is>
          <t>Owner and first test present</t>
        </is>
      </c>
      <c r="C15" s="11" t="n"/>
      <c r="D15" s="11" t="n"/>
      <c r="E15" s="11" t="n"/>
    </row>
    <row r="16">
      <c r="A16" s="4" t="n">
        <v>9</v>
      </c>
      <c r="B16" s="4" t="inlineStr">
        <is>
          <t>All voices included</t>
        </is>
      </c>
      <c r="C16" s="11" t="n"/>
      <c r="D16" s="11" t="n"/>
      <c r="E16" s="11" t="n"/>
    </row>
    <row r="17">
      <c r="A17" s="4" t="n">
        <v>10</v>
      </c>
      <c r="B17" s="4" t="inlineStr">
        <is>
          <t>Report-out completed within the limit</t>
        </is>
      </c>
      <c r="C17" s="11" t="n"/>
      <c r="D17" s="11" t="n"/>
      <c r="E17" s="11" t="n"/>
    </row>
    <row r="18">
      <c r="A18" s="4" t="n">
        <v>11</v>
      </c>
      <c r="B18" s="4" t="inlineStr">
        <is>
          <t>Trap test run and the result recorded (kit-specific)</t>
        </is>
      </c>
      <c r="C18" s="11" t="n"/>
      <c r="D18" s="11" t="n"/>
      <c r="E18" s="11" t="n"/>
    </row>
    <row r="19">
      <c r="A19" s="4" t="n">
        <v>12</v>
      </c>
      <c r="B19" s="4" t="inlineStr">
        <is>
          <t>Room recovered from each injected failure without observer help (kit-specific)</t>
        </is>
      </c>
      <c r="C19" s="11" t="n"/>
      <c r="D19" s="11" t="n"/>
      <c r="E19" s="11" t="n"/>
    </row>
    <row r="21">
      <c r="B21" s="3" t="inlineStr">
        <is>
          <t>Items scored</t>
        </is>
      </c>
      <c r="C21" s="12">
        <f>COUNT(C8:C19)</f>
        <v/>
      </c>
    </row>
    <row r="22">
      <c r="B22" s="3" t="inlineStr">
        <is>
          <t>Average score</t>
        </is>
      </c>
      <c r="C22" s="13">
        <f>IF(COUNT(C8:C19)=0,"",AVERAGE(C8:C19))</f>
        <v/>
      </c>
    </row>
    <row r="23">
      <c r="B23" s="3" t="inlineStr">
        <is>
          <t>Items scored 1</t>
        </is>
      </c>
      <c r="C23" s="12">
        <f>COUNTIF(C8:C19,1)</f>
        <v/>
      </c>
    </row>
    <row r="24">
      <c r="B24" s="3" t="inlineStr">
        <is>
          <t>Meets score bar (avg ≥ 3.5, no 1s)</t>
        </is>
      </c>
      <c r="C24" s="12">
        <f>IF(C21&lt;12,"Incomplete",IF(AND(C22&gt;=3.5,C23=0),"Yes","No"))</f>
        <v/>
      </c>
    </row>
    <row r="26">
      <c r="A26" s="6" t="inlineStr">
        <is>
          <t>#</t>
        </is>
      </c>
      <c r="B26" s="6" t="inlineStr">
        <is>
          <t>Pass criterion</t>
        </is>
      </c>
      <c r="C26" s="6" t="inlineStr">
        <is>
          <t>Yes / No</t>
        </is>
      </c>
      <c r="D26" s="6" t="inlineStr"/>
      <c r="E26" s="6" t="inlineStr">
        <is>
          <t>Evidence</t>
        </is>
      </c>
    </row>
    <row r="27">
      <c r="A27" s="4" t="n">
        <v>1</v>
      </c>
      <c r="B27" s="4" t="inlineStr">
        <is>
          <t>100% of the ten mandatory Pilot Pack fields completed</t>
        </is>
      </c>
      <c r="C27" s="11" t="n"/>
      <c r="E27" s="11" t="n"/>
    </row>
    <row r="28">
      <c r="A28" s="4" t="n">
        <v>2</v>
      </c>
      <c r="B28" s="4" t="inlineStr">
        <is>
          <t>Owner, first test, metric and guardrail explicit</t>
        </is>
      </c>
      <c r="C28" s="11" t="n"/>
      <c r="E28" s="11" t="n"/>
    </row>
    <row r="29">
      <c r="A29" s="4" t="n">
        <v>3</v>
      </c>
      <c r="B29" s="4" t="inlineStr">
        <is>
          <t>Facilitator did not need content expertise to finish</t>
        </is>
      </c>
      <c r="C29" s="11" t="n"/>
      <c r="E29" s="11" t="n"/>
    </row>
    <row r="30">
      <c r="A30" s="4" t="n">
        <v>4</v>
      </c>
      <c r="B30" s="4" t="inlineStr">
        <is>
          <t>Someone outside the room can read the pack in 3 minutes and restate it</t>
        </is>
      </c>
      <c r="C30" s="11" t="n"/>
      <c r="E30" s="11" t="n"/>
    </row>
    <row r="31">
      <c r="A31" s="4" t="n">
        <v>5</v>
      </c>
      <c r="B31" s="4" t="inlineStr">
        <is>
          <t>No unresolved confidentiality or tool-approval issue hidden</t>
        </is>
      </c>
      <c r="C31" s="11" t="n"/>
      <c r="E31" s="11" t="n"/>
    </row>
    <row r="32">
      <c r="A32" s="4" t="n">
        <v>6</v>
      </c>
      <c r="B32" s="4" t="inlineStr">
        <is>
          <t>Final recommendation produced inside the 60-minute slot</t>
        </is>
      </c>
      <c r="C32" s="11" t="n"/>
      <c r="E32" s="11" t="n"/>
    </row>
    <row r="34">
      <c r="B34" s="3" t="inlineStr">
        <is>
          <t>Pass criteria result</t>
        </is>
      </c>
      <c r="C34" s="12">
        <f>IF(COUNTA(C27:C32)&lt;6,"Incomplete",IF(COUNTIF(C27:C32,"Yes")=6,"Pass","Fail"))</f>
        <v/>
      </c>
    </row>
  </sheetData>
  <dataValidations count="2">
    <dataValidation sqref="C8 C9 C10 C11 C12 C13 C14 C15 C16 C17 C18 C19" showDropDown="0" showInputMessage="0" showErrorMessage="1" allowBlank="0" error="Enter a whole number from 1 to 5." type="whole" operator="between">
      <formula1>1</formula1>
      <formula2>5</formula2>
    </dataValidation>
    <dataValidation sqref="C27 C28 C29 C30 C31 C32"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24" customWidth="1" min="1" max="1"/>
    <col width="13" customWidth="1" min="2" max="2"/>
    <col width="13" customWidth="1" min="3" max="3"/>
    <col width="14" customWidth="1" min="4" max="4"/>
    <col width="16" customWidth="1" min="5" max="5"/>
    <col width="15" customWidth="1" min="6" max="6"/>
    <col width="16" customWidth="1" min="7" max="7"/>
    <col width="15" customWidth="1" min="8" max="8"/>
  </cols>
  <sheetData>
    <row r="1">
      <c r="A1" s="1" t="inlineStr">
        <is>
          <t>Timing log</t>
        </is>
      </c>
    </row>
    <row r="2">
      <c r="A2" s="2" t="inlineStr">
        <is>
          <t>Minutes into the breakout. Enter the minute each stage actually ended.</t>
        </is>
      </c>
    </row>
    <row r="4">
      <c r="A4" s="6" t="inlineStr">
        <is>
          <t>Stage</t>
        </is>
      </c>
      <c r="B4" s="6" t="inlineStr">
        <is>
          <t>Planned start</t>
        </is>
      </c>
      <c r="C4" s="6" t="inlineStr">
        <is>
          <t>Planned end</t>
        </is>
      </c>
      <c r="D4" s="6" t="inlineStr">
        <is>
          <t>Planned minutes</t>
        </is>
      </c>
      <c r="E4" s="6" t="inlineStr">
        <is>
          <t>Room A actual end</t>
        </is>
      </c>
      <c r="F4" s="6" t="inlineStr">
        <is>
          <t>Room A overrun</t>
        </is>
      </c>
      <c r="G4" s="6" t="inlineStr">
        <is>
          <t>Room B actual end</t>
        </is>
      </c>
      <c r="H4" s="6" t="inlineStr">
        <is>
          <t>Room B overrun</t>
        </is>
      </c>
    </row>
    <row r="5">
      <c r="A5" s="7" t="inlineStr">
        <is>
          <t>Orient</t>
        </is>
      </c>
      <c r="B5" s="14" t="n">
        <v>0</v>
      </c>
      <c r="C5" s="14" t="n">
        <v>5</v>
      </c>
      <c r="D5" s="15">
        <f>C5-B5</f>
        <v/>
      </c>
      <c r="E5" s="16" t="n"/>
      <c r="F5" s="15">
        <f>IF(E5="","",E5-C5)</f>
        <v/>
      </c>
      <c r="G5" s="16" t="n"/>
      <c r="H5" s="15">
        <f>IF(G5="","",G5-C5)</f>
        <v/>
      </c>
    </row>
    <row r="6">
      <c r="A6" s="7" t="inlineStr">
        <is>
          <t>Frame the pain</t>
        </is>
      </c>
      <c r="B6" s="14" t="n">
        <v>5</v>
      </c>
      <c r="C6" s="14" t="n">
        <v>15</v>
      </c>
      <c r="D6" s="15">
        <f>C6-B6</f>
        <v/>
      </c>
      <c r="E6" s="16" t="n"/>
      <c r="F6" s="15">
        <f>IF(E6="","",E6-C6)</f>
        <v/>
      </c>
      <c r="G6" s="16" t="n"/>
      <c r="H6" s="15">
        <f>IF(G6="","",G6-C6)</f>
        <v/>
      </c>
    </row>
    <row r="7">
      <c r="A7" s="7" t="inlineStr">
        <is>
          <t>Design the agent</t>
        </is>
      </c>
      <c r="B7" s="14" t="n">
        <v>15</v>
      </c>
      <c r="C7" s="14" t="n">
        <v>27</v>
      </c>
      <c r="D7" s="15">
        <f>C7-B7</f>
        <v/>
      </c>
      <c r="E7" s="16" t="n"/>
      <c r="F7" s="15">
        <f>IF(E7="","",E7-C7)</f>
        <v/>
      </c>
      <c r="G7" s="16" t="n"/>
      <c r="H7" s="15">
        <f>IF(G7="","",G7-C7)</f>
        <v/>
      </c>
    </row>
    <row r="8">
      <c r="A8" s="7" t="inlineStr">
        <is>
          <t>Build and challenge</t>
        </is>
      </c>
      <c r="B8" s="14" t="n">
        <v>27</v>
      </c>
      <c r="C8" s="14" t="n">
        <v>42</v>
      </c>
      <c r="D8" s="15">
        <f>C8-B8</f>
        <v/>
      </c>
      <c r="E8" s="16" t="n"/>
      <c r="F8" s="15">
        <f>IF(E8="","",E8-C8)</f>
        <v/>
      </c>
      <c r="G8" s="16" t="n"/>
      <c r="H8" s="15">
        <f>IF(G8="","",G8-C8)</f>
        <v/>
      </c>
    </row>
    <row r="9">
      <c r="A9" s="7" t="inlineStr">
        <is>
          <t>Fix and decide</t>
        </is>
      </c>
      <c r="B9" s="14" t="n">
        <v>42</v>
      </c>
      <c r="C9" s="14" t="n">
        <v>50</v>
      </c>
      <c r="D9" s="15">
        <f>C9-B9</f>
        <v/>
      </c>
      <c r="E9" s="16" t="n"/>
      <c r="F9" s="15">
        <f>IF(E9="","",E9-C9)</f>
        <v/>
      </c>
      <c r="G9" s="16" t="n"/>
      <c r="H9" s="15">
        <f>IF(G9="","",G9-C9)</f>
        <v/>
      </c>
    </row>
    <row r="10">
      <c r="A10" s="7" t="inlineStr">
        <is>
          <t>Package and commit</t>
        </is>
      </c>
      <c r="B10" s="14" t="n">
        <v>50</v>
      </c>
      <c r="C10" s="14" t="n">
        <v>60</v>
      </c>
      <c r="D10" s="15">
        <f>C10-B10</f>
        <v/>
      </c>
      <c r="E10" s="16" t="n"/>
      <c r="F10" s="15">
        <f>IF(E10="","",E10-C10)</f>
        <v/>
      </c>
      <c r="G10" s="16" t="n"/>
      <c r="H10" s="15">
        <f>IF(G10="","",G10-C10)</f>
        <v/>
      </c>
    </row>
    <row r="12">
      <c r="A12" s="3" t="inlineStr">
        <is>
          <t>Room B: minute the card was chosen</t>
        </is>
      </c>
      <c r="E12" s="17" t="n"/>
    </row>
    <row r="13">
      <c r="A13" s="2" t="inlineStr">
        <is>
          <t>Planned stage times come from the kit’s proposed 60-minute flow (blue = fixed inputs).</t>
        </is>
      </c>
    </row>
  </sheetData>
  <conditionalFormatting sqref="F5:F10">
    <cfRule type="expression" priority="1" dxfId="0">
      <formula>AND(ISNUMBER(F5),F5&gt;3)</formula>
    </cfRule>
  </conditionalFormatting>
  <conditionalFormatting sqref="H5:H10">
    <cfRule type="expression" priority="2" dxfId="0">
      <formula>AND(ISNUMBER(H5),H5&gt;3)</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8" customWidth="1" min="1" max="1"/>
    <col width="9" customWidth="1" min="2" max="2"/>
    <col width="48" customWidth="1" min="3" max="3"/>
    <col width="10" customWidth="1" min="4" max="4"/>
    <col width="10" customWidth="1" min="5" max="5"/>
    <col width="18" customWidth="1" min="6" max="6"/>
    <col width="14" customWidth="1" min="7" max="7"/>
    <col width="45" customWidth="1" min="8" max="8"/>
  </cols>
  <sheetData>
    <row r="1">
      <c r="A1" s="1" t="inlineStr">
        <is>
          <t>Injected failures</t>
        </is>
      </c>
    </row>
    <row r="2">
      <c r="A2" s="2" t="inlineStr">
        <is>
          <t>The producer fires each one; the observer records the recovery.</t>
        </is>
      </c>
    </row>
    <row r="4">
      <c r="A4" s="6" t="inlineStr">
        <is>
          <t>Room</t>
        </is>
      </c>
      <c r="B4" s="6" t="inlineStr">
        <is>
          <t>Minute</t>
        </is>
      </c>
      <c r="C4" s="6" t="inlineStr">
        <is>
          <t>Injection</t>
        </is>
      </c>
      <c r="D4" s="6" t="inlineStr">
        <is>
          <t>Scenario</t>
        </is>
      </c>
      <c r="E4" s="6" t="inlineStr">
        <is>
          <t>Fired?</t>
        </is>
      </c>
      <c r="F4" s="6" t="inlineStr">
        <is>
          <t>Recovered without help?</t>
        </is>
      </c>
      <c r="G4" s="6" t="inlineStr">
        <is>
          <t>Minutes to recover</t>
        </is>
      </c>
      <c r="H4" s="6" t="inlineStr">
        <is>
          <t>Notes</t>
        </is>
      </c>
    </row>
    <row r="5">
      <c r="A5" s="18" t="inlineStr">
        <is>
          <t>A</t>
        </is>
      </c>
      <c r="B5" s="18" t="inlineStr">
        <is>
          <t>0–60</t>
        </is>
      </c>
      <c r="C5" s="18" t="inlineStr">
        <is>
          <t>The Expert dominates from the start</t>
        </is>
      </c>
      <c r="D5" s="18" t="inlineStr">
        <is>
          <t>2</t>
        </is>
      </c>
      <c r="E5" s="11" t="n"/>
      <c r="F5" s="11" t="n"/>
      <c r="G5" s="11" t="n"/>
      <c r="H5" s="11" t="n"/>
    </row>
    <row r="6">
      <c r="A6" s="18" t="inlineStr">
        <is>
          <t>A</t>
        </is>
      </c>
      <c r="B6" s="18" t="inlineStr">
        <is>
          <t>10</t>
        </is>
      </c>
      <c r="C6" s="18" t="inlineStr">
        <is>
          <t>Nobody can quantify the baseline</t>
        </is>
      </c>
      <c r="D6" s="18" t="inlineStr">
        <is>
          <t>3</t>
        </is>
      </c>
      <c r="E6" s="11" t="n"/>
      <c r="F6" s="11" t="n"/>
      <c r="G6" s="11" t="n"/>
      <c r="H6" s="11" t="n"/>
    </row>
    <row r="7">
      <c r="A7" s="18" t="inlineStr">
        <is>
          <t>A</t>
        </is>
      </c>
      <c r="B7" s="18" t="inlineStr">
        <is>
          <t>20</t>
        </is>
      </c>
      <c r="C7" s="18" t="inlineStr">
        <is>
          <t>A public or unapproved tool is proposed</t>
        </is>
      </c>
      <c r="D7" s="18" t="inlineStr">
        <is>
          <t>4</t>
        </is>
      </c>
      <c r="E7" s="11" t="n"/>
      <c r="F7" s="11" t="n"/>
      <c r="G7" s="11" t="n"/>
      <c r="H7" s="11" t="n"/>
    </row>
    <row r="8">
      <c r="A8" s="18" t="inlineStr">
        <is>
          <t>A</t>
        </is>
      </c>
      <c r="B8" s="18" t="inlineStr">
        <is>
          <t>30</t>
        </is>
      </c>
      <c r="C8" s="18" t="inlineStr">
        <is>
          <t>“Let’s paste my real project status”</t>
        </is>
      </c>
      <c r="D8" s="18" t="inlineStr">
        <is>
          <t>5</t>
        </is>
      </c>
      <c r="E8" s="11" t="n"/>
      <c r="F8" s="11" t="n"/>
      <c r="G8" s="11" t="n"/>
      <c r="H8" s="11" t="n"/>
    </row>
    <row r="9">
      <c r="A9" s="18" t="inlineStr">
        <is>
          <t>A</t>
        </is>
      </c>
      <c r="B9" s="18" t="inlineStr">
        <is>
          <t>52</t>
        </is>
      </c>
      <c r="C9" s="18" t="inlineStr">
        <is>
          <t>Nobody will own the pilot</t>
        </is>
      </c>
      <c r="D9" s="18" t="inlineStr">
        <is>
          <t>8</t>
        </is>
      </c>
      <c r="E9" s="11" t="n"/>
      <c r="F9" s="11" t="n"/>
      <c r="G9" s="11" t="n"/>
      <c r="H9" s="11" t="n"/>
    </row>
    <row r="10">
      <c r="A10" s="18" t="inlineStr">
        <is>
          <t>B</t>
        </is>
      </c>
      <c r="B10" s="18" t="inlineStr">
        <is>
          <t>0</t>
        </is>
      </c>
      <c r="C10" s="18" t="inlineStr">
        <is>
          <t>Two cards to choose from, one too broad</t>
        </is>
      </c>
      <c r="D10" s="18" t="inlineStr">
        <is>
          <t>1, 6</t>
        </is>
      </c>
      <c r="E10" s="11" t="n"/>
      <c r="F10" s="11" t="n"/>
      <c r="G10" s="11" t="n"/>
      <c r="H10" s="11" t="n"/>
    </row>
    <row r="11">
      <c r="A11" s="18" t="inlineStr">
        <is>
          <t>B</t>
        </is>
      </c>
      <c r="B11" s="18" t="inlineStr">
        <is>
          <t>27</t>
        </is>
      </c>
      <c r="C11" s="18" t="inlineStr">
        <is>
          <t>Builder told the tool is unavailable</t>
        </is>
      </c>
      <c r="D11" s="18" t="inlineStr">
        <is>
          <t>tool</t>
        </is>
      </c>
      <c r="E11" s="11" t="n"/>
      <c r="F11" s="11" t="n"/>
      <c r="G11" s="11" t="n"/>
      <c r="H11" s="11" t="n"/>
    </row>
    <row r="12">
      <c r="A12" s="18" t="inlineStr">
        <is>
          <t>B</t>
        </is>
      </c>
      <c r="B12" s="18" t="inlineStr">
        <is>
          <t>35</t>
        </is>
      </c>
      <c r="C12" s="18" t="inlineStr">
        <is>
          <t>Scribe closes the template or loses the link</t>
        </is>
      </c>
      <c r="D12" s="18" t="inlineStr">
        <is>
          <t>7</t>
        </is>
      </c>
      <c r="E12" s="11" t="n"/>
      <c r="F12" s="11" t="n"/>
      <c r="G12" s="11" t="n"/>
      <c r="H12" s="11" t="n"/>
    </row>
    <row r="13">
      <c r="A13" s="18" t="inlineStr">
        <is>
          <t>B</t>
        </is>
      </c>
      <c r="B13" s="18" t="inlineStr">
        <is>
          <t>40</t>
        </is>
      </c>
      <c r="C13" s="18" t="inlineStr">
        <is>
          <t>Facilitator called away for 5 minutes</t>
        </is>
      </c>
      <c r="D13" s="18" t="inlineStr">
        <is>
          <t>10</t>
        </is>
      </c>
      <c r="E13" s="11" t="n"/>
      <c r="F13" s="11" t="n"/>
      <c r="G13" s="11" t="n"/>
      <c r="H13" s="11" t="n"/>
    </row>
    <row r="14">
      <c r="A14" s="18" t="inlineStr">
        <is>
          <t>B</t>
        </is>
      </c>
      <c r="B14" s="18" t="inlineStr">
        <is>
          <t>65</t>
        </is>
      </c>
      <c r="C14" s="18" t="inlineStr">
        <is>
          <t>Report-out cut to 45 seconds</t>
        </is>
      </c>
      <c r="D14" s="18" t="inlineStr">
        <is>
          <t>9</t>
        </is>
      </c>
      <c r="E14" s="11" t="n"/>
      <c r="F14" s="11" t="n"/>
      <c r="G14" s="11" t="n"/>
      <c r="H14" s="11" t="n"/>
    </row>
    <row r="16">
      <c r="A16" s="2" t="inlineStr">
        <is>
          <t>Scenario numbers refer to the ten mock-run scenarios in the knowledge base.</t>
        </is>
      </c>
    </row>
  </sheetData>
  <dataValidations count="2">
    <dataValidation sqref="E5 E6 E7 E8 E9 E10 E11 E12 E13 E14" showDropDown="0" showInputMessage="0" showErrorMessage="0" allowBlank="1" type="list">
      <formula1>"Yes,No"</formula1>
    </dataValidation>
    <dataValidation sqref="F5 F6 F7 F8 F9 F10 F11 F12 F13 F14" showDropDown="0" showInputMessage="0" showErrorMessage="0" allowBlank="1" type="list">
      <formula1>"Yes,Partly,No"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4"/>
  <sheetViews>
    <sheetView showGridLines="0" workbookViewId="0">
      <pane ySplit="4" topLeftCell="A5" activePane="bottomLeft" state="frozen"/>
      <selection pane="bottomLeft" activeCell="A1" sqref="A1"/>
    </sheetView>
  </sheetViews>
  <sheetFormatPr baseColWidth="8" defaultRowHeight="15"/>
  <cols>
    <col width="7" customWidth="1" min="1" max="1"/>
    <col width="8" customWidth="1" min="2" max="2"/>
    <col width="18" customWidth="1" min="3" max="3"/>
    <col width="44" customWidth="1" min="4" max="4"/>
    <col width="10" customWidth="1" min="5" max="5"/>
    <col width="30" customWidth="1" min="6" max="6"/>
    <col width="36" customWidth="1" min="7" max="7"/>
    <col width="14" customWidth="1" min="8" max="8"/>
    <col width="22" customWidth="1" min="9" max="9"/>
    <col width="11" customWidth="1" min="10" max="10"/>
  </cols>
  <sheetData>
    <row r="1">
      <c r="A1" s="1" t="inlineStr">
        <is>
          <t>Defect log</t>
        </is>
      </c>
    </row>
    <row r="2">
      <c r="A2" s="2" t="inlineStr">
        <is>
          <t>One row per defect. See “How to use” for an example row.</t>
        </is>
      </c>
    </row>
    <row r="4">
      <c r="A4" s="6" t="inlineStr">
        <is>
          <t>ID</t>
        </is>
      </c>
      <c r="B4" s="6" t="inlineStr">
        <is>
          <t>Room</t>
        </is>
      </c>
      <c r="C4" s="6" t="inlineStr">
        <is>
          <t>Stage</t>
        </is>
      </c>
      <c r="D4" s="6" t="inlineStr">
        <is>
          <t>Observation</t>
        </is>
      </c>
      <c r="E4" s="6" t="inlineStr">
        <is>
          <t>Severity</t>
        </is>
      </c>
      <c r="F4" s="6" t="inlineStr">
        <is>
          <t>Root cause</t>
        </is>
      </c>
      <c r="G4" s="6" t="inlineStr">
        <is>
          <t>Change needed</t>
        </is>
      </c>
      <c r="H4" s="6" t="inlineStr">
        <is>
          <t>Owner</t>
        </is>
      </c>
      <c r="I4" s="6" t="inlineStr">
        <is>
          <t>Retest</t>
        </is>
      </c>
      <c r="J4" s="6" t="inlineStr">
        <is>
          <t>Status</t>
        </is>
      </c>
    </row>
    <row r="5">
      <c r="A5" s="18" t="inlineStr">
        <is>
          <t>D01</t>
        </is>
      </c>
      <c r="B5" s="11" t="n"/>
      <c r="C5" s="11" t="n"/>
      <c r="D5" s="11" t="n"/>
      <c r="E5" s="11" t="n"/>
      <c r="F5" s="11" t="n"/>
      <c r="G5" s="11" t="n"/>
      <c r="H5" s="11" t="n"/>
      <c r="I5" s="11" t="n"/>
      <c r="J5" s="11" t="n"/>
    </row>
    <row r="6">
      <c r="A6" s="18" t="inlineStr">
        <is>
          <t>D02</t>
        </is>
      </c>
      <c r="B6" s="11" t="n"/>
      <c r="C6" s="11" t="n"/>
      <c r="D6" s="11" t="n"/>
      <c r="E6" s="11" t="n"/>
      <c r="F6" s="11" t="n"/>
      <c r="G6" s="11" t="n"/>
      <c r="H6" s="11" t="n"/>
      <c r="I6" s="11" t="n"/>
      <c r="J6" s="11" t="n"/>
    </row>
    <row r="7">
      <c r="A7" s="18" t="inlineStr">
        <is>
          <t>D03</t>
        </is>
      </c>
      <c r="B7" s="11" t="n"/>
      <c r="C7" s="11" t="n"/>
      <c r="D7" s="11" t="n"/>
      <c r="E7" s="11" t="n"/>
      <c r="F7" s="11" t="n"/>
      <c r="G7" s="11" t="n"/>
      <c r="H7" s="11" t="n"/>
      <c r="I7" s="11" t="n"/>
      <c r="J7" s="11" t="n"/>
    </row>
    <row r="8">
      <c r="A8" s="18" t="inlineStr">
        <is>
          <t>D04</t>
        </is>
      </c>
      <c r="B8" s="11" t="n"/>
      <c r="C8" s="11" t="n"/>
      <c r="D8" s="11" t="n"/>
      <c r="E8" s="11" t="n"/>
      <c r="F8" s="11" t="n"/>
      <c r="G8" s="11" t="n"/>
      <c r="H8" s="11" t="n"/>
      <c r="I8" s="11" t="n"/>
      <c r="J8" s="11" t="n"/>
    </row>
    <row r="9">
      <c r="A9" s="18" t="inlineStr">
        <is>
          <t>D05</t>
        </is>
      </c>
      <c r="B9" s="11" t="n"/>
      <c r="C9" s="11" t="n"/>
      <c r="D9" s="11" t="n"/>
      <c r="E9" s="11" t="n"/>
      <c r="F9" s="11" t="n"/>
      <c r="G9" s="11" t="n"/>
      <c r="H9" s="11" t="n"/>
      <c r="I9" s="11" t="n"/>
      <c r="J9" s="11" t="n"/>
    </row>
    <row r="10">
      <c r="A10" s="18" t="inlineStr">
        <is>
          <t>D06</t>
        </is>
      </c>
      <c r="B10" s="11" t="n"/>
      <c r="C10" s="11" t="n"/>
      <c r="D10" s="11" t="n"/>
      <c r="E10" s="11" t="n"/>
      <c r="F10" s="11" t="n"/>
      <c r="G10" s="11" t="n"/>
      <c r="H10" s="11" t="n"/>
      <c r="I10" s="11" t="n"/>
      <c r="J10" s="11" t="n"/>
    </row>
    <row r="11">
      <c r="A11" s="18" t="inlineStr">
        <is>
          <t>D07</t>
        </is>
      </c>
      <c r="B11" s="11" t="n"/>
      <c r="C11" s="11" t="n"/>
      <c r="D11" s="11" t="n"/>
      <c r="E11" s="11" t="n"/>
      <c r="F11" s="11" t="n"/>
      <c r="G11" s="11" t="n"/>
      <c r="H11" s="11" t="n"/>
      <c r="I11" s="11" t="n"/>
      <c r="J11" s="11" t="n"/>
    </row>
    <row r="12">
      <c r="A12" s="18" t="inlineStr">
        <is>
          <t>D08</t>
        </is>
      </c>
      <c r="B12" s="11" t="n"/>
      <c r="C12" s="11" t="n"/>
      <c r="D12" s="11" t="n"/>
      <c r="E12" s="11" t="n"/>
      <c r="F12" s="11" t="n"/>
      <c r="G12" s="11" t="n"/>
      <c r="H12" s="11" t="n"/>
      <c r="I12" s="11" t="n"/>
      <c r="J12" s="11" t="n"/>
    </row>
    <row r="13">
      <c r="A13" s="18" t="inlineStr">
        <is>
          <t>D09</t>
        </is>
      </c>
      <c r="B13" s="11" t="n"/>
      <c r="C13" s="11" t="n"/>
      <c r="D13" s="11" t="n"/>
      <c r="E13" s="11" t="n"/>
      <c r="F13" s="11" t="n"/>
      <c r="G13" s="11" t="n"/>
      <c r="H13" s="11" t="n"/>
      <c r="I13" s="11" t="n"/>
      <c r="J13" s="11" t="n"/>
    </row>
    <row r="14">
      <c r="A14" s="18" t="inlineStr">
        <is>
          <t>D10</t>
        </is>
      </c>
      <c r="B14" s="11" t="n"/>
      <c r="C14" s="11" t="n"/>
      <c r="D14" s="11" t="n"/>
      <c r="E14" s="11" t="n"/>
      <c r="F14" s="11" t="n"/>
      <c r="G14" s="11" t="n"/>
      <c r="H14" s="11" t="n"/>
      <c r="I14" s="11" t="n"/>
      <c r="J14" s="11" t="n"/>
    </row>
    <row r="15">
      <c r="A15" s="18" t="inlineStr">
        <is>
          <t>D11</t>
        </is>
      </c>
      <c r="B15" s="11" t="n"/>
      <c r="C15" s="11" t="n"/>
      <c r="D15" s="11" t="n"/>
      <c r="E15" s="11" t="n"/>
      <c r="F15" s="11" t="n"/>
      <c r="G15" s="11" t="n"/>
      <c r="H15" s="11" t="n"/>
      <c r="I15" s="11" t="n"/>
      <c r="J15" s="11" t="n"/>
    </row>
    <row r="16">
      <c r="A16" s="18" t="inlineStr">
        <is>
          <t>D12</t>
        </is>
      </c>
      <c r="B16" s="11" t="n"/>
      <c r="C16" s="11" t="n"/>
      <c r="D16" s="11" t="n"/>
      <c r="E16" s="11" t="n"/>
      <c r="F16" s="11" t="n"/>
      <c r="G16" s="11" t="n"/>
      <c r="H16" s="11" t="n"/>
      <c r="I16" s="11" t="n"/>
      <c r="J16" s="11" t="n"/>
    </row>
    <row r="17">
      <c r="A17" s="18" t="inlineStr">
        <is>
          <t>D13</t>
        </is>
      </c>
      <c r="B17" s="11" t="n"/>
      <c r="C17" s="11" t="n"/>
      <c r="D17" s="11" t="n"/>
      <c r="E17" s="11" t="n"/>
      <c r="F17" s="11" t="n"/>
      <c r="G17" s="11" t="n"/>
      <c r="H17" s="11" t="n"/>
      <c r="I17" s="11" t="n"/>
      <c r="J17" s="11" t="n"/>
    </row>
    <row r="18">
      <c r="A18" s="18" t="inlineStr">
        <is>
          <t>D14</t>
        </is>
      </c>
      <c r="B18" s="11" t="n"/>
      <c r="C18" s="11" t="n"/>
      <c r="D18" s="11" t="n"/>
      <c r="E18" s="11" t="n"/>
      <c r="F18" s="11" t="n"/>
      <c r="G18" s="11" t="n"/>
      <c r="H18" s="11" t="n"/>
      <c r="I18" s="11" t="n"/>
      <c r="J18" s="11" t="n"/>
    </row>
    <row r="19">
      <c r="A19" s="18" t="inlineStr">
        <is>
          <t>D15</t>
        </is>
      </c>
      <c r="B19" s="11" t="n"/>
      <c r="C19" s="11" t="n"/>
      <c r="D19" s="11" t="n"/>
      <c r="E19" s="11" t="n"/>
      <c r="F19" s="11" t="n"/>
      <c r="G19" s="11" t="n"/>
      <c r="H19" s="11" t="n"/>
      <c r="I19" s="11" t="n"/>
      <c r="J19" s="11" t="n"/>
    </row>
    <row r="20">
      <c r="A20" s="18" t="inlineStr">
        <is>
          <t>D16</t>
        </is>
      </c>
      <c r="B20" s="11" t="n"/>
      <c r="C20" s="11" t="n"/>
      <c r="D20" s="11" t="n"/>
      <c r="E20" s="11" t="n"/>
      <c r="F20" s="11" t="n"/>
      <c r="G20" s="11" t="n"/>
      <c r="H20" s="11" t="n"/>
      <c r="I20" s="11" t="n"/>
      <c r="J20" s="11" t="n"/>
    </row>
    <row r="21">
      <c r="A21" s="18" t="inlineStr">
        <is>
          <t>D17</t>
        </is>
      </c>
      <c r="B21" s="11" t="n"/>
      <c r="C21" s="11" t="n"/>
      <c r="D21" s="11" t="n"/>
      <c r="E21" s="11" t="n"/>
      <c r="F21" s="11" t="n"/>
      <c r="G21" s="11" t="n"/>
      <c r="H21" s="11" t="n"/>
      <c r="I21" s="11" t="n"/>
      <c r="J21" s="11" t="n"/>
    </row>
    <row r="22">
      <c r="A22" s="18" t="inlineStr">
        <is>
          <t>D18</t>
        </is>
      </c>
      <c r="B22" s="11" t="n"/>
      <c r="C22" s="11" t="n"/>
      <c r="D22" s="11" t="n"/>
      <c r="E22" s="11" t="n"/>
      <c r="F22" s="11" t="n"/>
      <c r="G22" s="11" t="n"/>
      <c r="H22" s="11" t="n"/>
      <c r="I22" s="11" t="n"/>
      <c r="J22" s="11" t="n"/>
    </row>
    <row r="23">
      <c r="A23" s="18" t="inlineStr">
        <is>
          <t>D19</t>
        </is>
      </c>
      <c r="B23" s="11" t="n"/>
      <c r="C23" s="11" t="n"/>
      <c r="D23" s="11" t="n"/>
      <c r="E23" s="11" t="n"/>
      <c r="F23" s="11" t="n"/>
      <c r="G23" s="11" t="n"/>
      <c r="H23" s="11" t="n"/>
      <c r="I23" s="11" t="n"/>
      <c r="J23" s="11" t="n"/>
    </row>
    <row r="24">
      <c r="A24" s="18" t="inlineStr">
        <is>
          <t>D20</t>
        </is>
      </c>
      <c r="B24" s="11" t="n"/>
      <c r="C24" s="11" t="n"/>
      <c r="D24" s="11" t="n"/>
      <c r="E24" s="11" t="n"/>
      <c r="F24" s="11" t="n"/>
      <c r="G24" s="11" t="n"/>
      <c r="H24" s="11" t="n"/>
      <c r="I24" s="11" t="n"/>
      <c r="J24" s="11" t="n"/>
    </row>
    <row r="25">
      <c r="A25" s="18" t="inlineStr">
        <is>
          <t>D21</t>
        </is>
      </c>
      <c r="B25" s="11" t="n"/>
      <c r="C25" s="11" t="n"/>
      <c r="D25" s="11" t="n"/>
      <c r="E25" s="11" t="n"/>
      <c r="F25" s="11" t="n"/>
      <c r="G25" s="11" t="n"/>
      <c r="H25" s="11" t="n"/>
      <c r="I25" s="11" t="n"/>
      <c r="J25" s="11" t="n"/>
    </row>
    <row r="26">
      <c r="A26" s="18" t="inlineStr">
        <is>
          <t>D22</t>
        </is>
      </c>
      <c r="B26" s="11" t="n"/>
      <c r="C26" s="11" t="n"/>
      <c r="D26" s="11" t="n"/>
      <c r="E26" s="11" t="n"/>
      <c r="F26" s="11" t="n"/>
      <c r="G26" s="11" t="n"/>
      <c r="H26" s="11" t="n"/>
      <c r="I26" s="11" t="n"/>
      <c r="J26" s="11" t="n"/>
    </row>
    <row r="27">
      <c r="A27" s="18" t="inlineStr">
        <is>
          <t>D23</t>
        </is>
      </c>
      <c r="B27" s="11" t="n"/>
      <c r="C27" s="11" t="n"/>
      <c r="D27" s="11" t="n"/>
      <c r="E27" s="11" t="n"/>
      <c r="F27" s="11" t="n"/>
      <c r="G27" s="11" t="n"/>
      <c r="H27" s="11" t="n"/>
      <c r="I27" s="11" t="n"/>
      <c r="J27" s="11" t="n"/>
    </row>
    <row r="28">
      <c r="A28" s="18" t="inlineStr">
        <is>
          <t>D24</t>
        </is>
      </c>
      <c r="B28" s="11" t="n"/>
      <c r="C28" s="11" t="n"/>
      <c r="D28" s="11" t="n"/>
      <c r="E28" s="11" t="n"/>
      <c r="F28" s="11" t="n"/>
      <c r="G28" s="11" t="n"/>
      <c r="H28" s="11" t="n"/>
      <c r="I28" s="11" t="n"/>
      <c r="J28" s="11" t="n"/>
    </row>
    <row r="29">
      <c r="A29" s="18" t="inlineStr">
        <is>
          <t>D25</t>
        </is>
      </c>
      <c r="B29" s="11" t="n"/>
      <c r="C29" s="11" t="n"/>
      <c r="D29" s="11" t="n"/>
      <c r="E29" s="11" t="n"/>
      <c r="F29" s="11" t="n"/>
      <c r="G29" s="11" t="n"/>
      <c r="H29" s="11" t="n"/>
      <c r="I29" s="11" t="n"/>
      <c r="J29" s="11" t="n"/>
    </row>
    <row r="30">
      <c r="A30" s="18" t="inlineStr">
        <is>
          <t>D26</t>
        </is>
      </c>
      <c r="B30" s="11" t="n"/>
      <c r="C30" s="11" t="n"/>
      <c r="D30" s="11" t="n"/>
      <c r="E30" s="11" t="n"/>
      <c r="F30" s="11" t="n"/>
      <c r="G30" s="11" t="n"/>
      <c r="H30" s="11" t="n"/>
      <c r="I30" s="11" t="n"/>
      <c r="J30" s="11" t="n"/>
    </row>
    <row r="31">
      <c r="A31" s="18" t="inlineStr">
        <is>
          <t>D27</t>
        </is>
      </c>
      <c r="B31" s="11" t="n"/>
      <c r="C31" s="11" t="n"/>
      <c r="D31" s="11" t="n"/>
      <c r="E31" s="11" t="n"/>
      <c r="F31" s="11" t="n"/>
      <c r="G31" s="11" t="n"/>
      <c r="H31" s="11" t="n"/>
      <c r="I31" s="11" t="n"/>
      <c r="J31" s="11" t="n"/>
    </row>
    <row r="32">
      <c r="A32" s="18" t="inlineStr">
        <is>
          <t>D28</t>
        </is>
      </c>
      <c r="B32" s="11" t="n"/>
      <c r="C32" s="11" t="n"/>
      <c r="D32" s="11" t="n"/>
      <c r="E32" s="11" t="n"/>
      <c r="F32" s="11" t="n"/>
      <c r="G32" s="11" t="n"/>
      <c r="H32" s="11" t="n"/>
      <c r="I32" s="11" t="n"/>
      <c r="J32" s="11" t="n"/>
    </row>
    <row r="33">
      <c r="A33" s="18" t="inlineStr">
        <is>
          <t>D29</t>
        </is>
      </c>
      <c r="B33" s="11" t="n"/>
      <c r="C33" s="11" t="n"/>
      <c r="D33" s="11" t="n"/>
      <c r="E33" s="11" t="n"/>
      <c r="F33" s="11" t="n"/>
      <c r="G33" s="11" t="n"/>
      <c r="H33" s="11" t="n"/>
      <c r="I33" s="11" t="n"/>
      <c r="J33" s="11" t="n"/>
    </row>
    <row r="34">
      <c r="A34" s="18" t="inlineStr">
        <is>
          <t>D30</t>
        </is>
      </c>
      <c r="B34" s="11" t="n"/>
      <c r="C34" s="11" t="n"/>
      <c r="D34" s="11" t="n"/>
      <c r="E34" s="11" t="n"/>
      <c r="F34" s="11" t="n"/>
      <c r="G34" s="11" t="n"/>
      <c r="H34" s="11" t="n"/>
      <c r="I34" s="11" t="n"/>
      <c r="J34" s="11" t="n"/>
    </row>
    <row r="35">
      <c r="A35" s="18" t="inlineStr">
        <is>
          <t>D31</t>
        </is>
      </c>
      <c r="B35" s="11" t="n"/>
      <c r="C35" s="11" t="n"/>
      <c r="D35" s="11" t="n"/>
      <c r="E35" s="11" t="n"/>
      <c r="F35" s="11" t="n"/>
      <c r="G35" s="11" t="n"/>
      <c r="H35" s="11" t="n"/>
      <c r="I35" s="11" t="n"/>
      <c r="J35" s="11" t="n"/>
    </row>
    <row r="36">
      <c r="A36" s="18" t="inlineStr">
        <is>
          <t>D32</t>
        </is>
      </c>
      <c r="B36" s="11" t="n"/>
      <c r="C36" s="11" t="n"/>
      <c r="D36" s="11" t="n"/>
      <c r="E36" s="11" t="n"/>
      <c r="F36" s="11" t="n"/>
      <c r="G36" s="11" t="n"/>
      <c r="H36" s="11" t="n"/>
      <c r="I36" s="11" t="n"/>
      <c r="J36" s="11" t="n"/>
    </row>
    <row r="37">
      <c r="A37" s="18" t="inlineStr">
        <is>
          <t>D33</t>
        </is>
      </c>
      <c r="B37" s="11" t="n"/>
      <c r="C37" s="11" t="n"/>
      <c r="D37" s="11" t="n"/>
      <c r="E37" s="11" t="n"/>
      <c r="F37" s="11" t="n"/>
      <c r="G37" s="11" t="n"/>
      <c r="H37" s="11" t="n"/>
      <c r="I37" s="11" t="n"/>
      <c r="J37" s="11" t="n"/>
    </row>
    <row r="38">
      <c r="A38" s="18" t="inlineStr">
        <is>
          <t>D34</t>
        </is>
      </c>
      <c r="B38" s="11" t="n"/>
      <c r="C38" s="11" t="n"/>
      <c r="D38" s="11" t="n"/>
      <c r="E38" s="11" t="n"/>
      <c r="F38" s="11" t="n"/>
      <c r="G38" s="11" t="n"/>
      <c r="H38" s="11" t="n"/>
      <c r="I38" s="11" t="n"/>
      <c r="J38" s="11" t="n"/>
    </row>
    <row r="39">
      <c r="A39" s="18" t="inlineStr">
        <is>
          <t>D35</t>
        </is>
      </c>
      <c r="B39" s="11" t="n"/>
      <c r="C39" s="11" t="n"/>
      <c r="D39" s="11" t="n"/>
      <c r="E39" s="11" t="n"/>
      <c r="F39" s="11" t="n"/>
      <c r="G39" s="11" t="n"/>
      <c r="H39" s="11" t="n"/>
      <c r="I39" s="11" t="n"/>
      <c r="J39" s="11" t="n"/>
    </row>
    <row r="40">
      <c r="A40" s="18" t="inlineStr">
        <is>
          <t>D36</t>
        </is>
      </c>
      <c r="B40" s="11" t="n"/>
      <c r="C40" s="11" t="n"/>
      <c r="D40" s="11" t="n"/>
      <c r="E40" s="11" t="n"/>
      <c r="F40" s="11" t="n"/>
      <c r="G40" s="11" t="n"/>
      <c r="H40" s="11" t="n"/>
      <c r="I40" s="11" t="n"/>
      <c r="J40" s="11" t="n"/>
    </row>
    <row r="41">
      <c r="A41" s="18" t="inlineStr">
        <is>
          <t>D37</t>
        </is>
      </c>
      <c r="B41" s="11" t="n"/>
      <c r="C41" s="11" t="n"/>
      <c r="D41" s="11" t="n"/>
      <c r="E41" s="11" t="n"/>
      <c r="F41" s="11" t="n"/>
      <c r="G41" s="11" t="n"/>
      <c r="H41" s="11" t="n"/>
      <c r="I41" s="11" t="n"/>
      <c r="J41" s="11" t="n"/>
    </row>
    <row r="42">
      <c r="A42" s="18" t="inlineStr">
        <is>
          <t>D38</t>
        </is>
      </c>
      <c r="B42" s="11" t="n"/>
      <c r="C42" s="11" t="n"/>
      <c r="D42" s="11" t="n"/>
      <c r="E42" s="11" t="n"/>
      <c r="F42" s="11" t="n"/>
      <c r="G42" s="11" t="n"/>
      <c r="H42" s="11" t="n"/>
      <c r="I42" s="11" t="n"/>
      <c r="J42" s="11" t="n"/>
    </row>
    <row r="43">
      <c r="A43" s="18" t="inlineStr">
        <is>
          <t>D39</t>
        </is>
      </c>
      <c r="B43" s="11" t="n"/>
      <c r="C43" s="11" t="n"/>
      <c r="D43" s="11" t="n"/>
      <c r="E43" s="11" t="n"/>
      <c r="F43" s="11" t="n"/>
      <c r="G43" s="11" t="n"/>
      <c r="H43" s="11" t="n"/>
      <c r="I43" s="11" t="n"/>
      <c r="J43" s="11" t="n"/>
    </row>
    <row r="44">
      <c r="A44" s="18" t="inlineStr">
        <is>
          <t>D40</t>
        </is>
      </c>
      <c r="B44" s="11" t="n"/>
      <c r="C44" s="11" t="n"/>
      <c r="D44" s="11" t="n"/>
      <c r="E44" s="11" t="n"/>
      <c r="F44" s="11" t="n"/>
      <c r="G44" s="11" t="n"/>
      <c r="H44" s="11" t="n"/>
      <c r="I44" s="11" t="n"/>
      <c r="J44" s="11" t="n"/>
    </row>
  </sheetData>
  <dataValidations count="3">
    <dataValidation sqref="E5 E6 E7 E8 E9 E10 E11 E12 E13 E14 E15 E16 E17 E18 E19 E20 E21 E22 E23 E24 E25 E26 E27 E28 E29 E30 E31 E32 E33 E34 E35 E36 E37 E38 E39 E40 E41 E42 E43 E44" showDropDown="0" showInputMessage="0" showErrorMessage="0" allowBlank="1" type="list">
      <formula1>"S1,S2,S3"</formula1>
    </dataValidation>
    <dataValidation sqref="J5 J6 J7 J8 J9 J10 J11 J12 J13 J14 J15 J16 J17 J18 J19 J20 J21 J22 J23 J24 J25 J26 J27 J28 J29 J30 J31 J32 J33 J34 J35 J36 J37 J38 J39 J40 J41 J42 J43 J44" showDropDown="0" showInputMessage="0" showErrorMessage="0" allowBlank="1" type="list">
      <formula1>"Open,Fixed,Retested"</formula1>
    </dataValidation>
    <dataValidation sqref="B5 B6 B7 B8 B9 B10 B11 B12 B13 B14 B15 B16 B17 B18 B19 B20 B21 B22 B23 B24 B25 B26 B27 B28 B29 B30 B31 B32 B33 B34 B35 B36 B37 B38 B39 B40 B41 B42 B43 B44" showDropDown="0" showInputMessage="0" showErrorMessage="0" allowBlank="1" type="list">
      <formula1>"A,B,Both"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2026-09-28T23:53:46Z</dcterms:created>
  <dcterms:modified xmlns:dcterms="http://purl.org/dc/terms/" xmlns:xsi="http://www.w3.org/2001/XMLSchema-instance" xsi:type="dcterms:W3CDTF">2026-09-28T23:53:46Z</dcterms:modified>
</cp:coreProperties>
</file>