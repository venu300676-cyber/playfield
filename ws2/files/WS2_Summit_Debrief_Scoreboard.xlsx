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  <sheet xmlns:r="http://schemas.openxmlformats.org/officeDocument/2006/relationships" name="Debrief card" sheetId="2" state="visible" r:id="rId2"/>
    <sheet xmlns:r="http://schemas.openxmlformats.org/officeDocument/2006/relationships" name="All reg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12201E"/>
      <sz val="14"/>
    </font>
    <font>
      <name val="Arial"/>
      <i val="1"/>
      <color rgb="004A5C59"/>
      <sz val="10"/>
    </font>
    <font>
      <name val="Arial"/>
      <b val="1"/>
      <color rgb="0012201E"/>
      <sz val="10"/>
    </font>
    <font>
      <name val="Arial"/>
      <color rgb="0012201E"/>
      <sz val="10"/>
    </font>
    <font>
      <name val="Arial"/>
      <b val="1"/>
      <color rgb="009A5F0C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color rgb="0012201E"/>
      <sz val="12"/>
    </font>
    <font>
      <name val="Arial"/>
      <b val="1"/>
      <color rgb="0012201E"/>
      <sz val="11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0B6E63"/>
      </patternFill>
    </fill>
    <fill>
      <patternFill patternType="solid">
        <fgColor rgb="00E5ECEA"/>
      </patternFill>
    </fill>
    <fill>
      <patternFill patternType="solid">
        <fgColor rgb="00F6E6C9"/>
      </patternFill>
    </fill>
  </fills>
  <borders count="2">
    <border>
      <left/>
      <right/>
      <top/>
      <bottom/>
      <diagonal/>
    </border>
    <border>
      <left style="thin">
        <color rgb="00C8D5D1"/>
      </left>
      <right style="thin">
        <color rgb="00C8D5D1"/>
      </right>
      <top style="thin">
        <color rgb="00C8D5D1"/>
      </top>
      <bottom style="thin">
        <color rgb="00C8D5D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7" fillId="4" borderId="1" pivotButton="0" quotePrefix="0" xfId="0"/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0" fillId="4" borderId="1" pivotButton="0" quotePrefix="0" xfId="0"/>
    <xf numFmtId="164" fontId="10" fillId="4" borderId="1" pivotButton="0" quotePrefix="0" xfId="0"/>
    <xf numFmtId="0" fontId="3" fillId="0" borderId="1" applyAlignment="1" pivotButton="0" quotePrefix="0" xfId="0">
      <alignment vertical="top" wrapText="1"/>
    </xf>
    <xf numFmtId="0" fontId="9" fillId="5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3EAE5"/>
        </patternFill>
      </fill>
    </dxf>
    <dxf>
      <fill>
        <patternFill patternType="solid">
          <fgColor rgb="00F6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12" customWidth="1" min="4" max="4"/>
    <col width="30" customWidth="1" min="5" max="5"/>
    <col width="30" customWidth="1" min="6" max="6"/>
    <col width="30" customWidth="1" min="7" max="7"/>
    <col width="26" customWidth="1" min="8" max="8"/>
    <col width="18" customWidth="1" min="9" max="9"/>
    <col width="9" customWidth="1" min="10" max="10"/>
    <col width="13" customWidth="1" min="11" max="11"/>
    <col width="10" customWidth="1" min="12" max="12"/>
  </cols>
  <sheetData>
    <row r="1">
      <c r="A1" s="1" t="inlineStr">
        <is>
          <t>Summit Debrief · scoreboard</t>
        </is>
      </c>
    </row>
    <row r="2">
      <c r="A2" s="2" t="inlineStr">
        <is>
          <t>One copy per region. Type each room’s figures as it reports; the awards calculate themselves. Yellow cells are inputs.</t>
        </is>
      </c>
    </row>
    <row r="3">
      <c r="A3" s="3" t="inlineStr">
        <is>
          <t>Region</t>
        </is>
      </c>
      <c r="B3" s="4" t="n"/>
      <c r="C3" s="5" t="inlineStr">
        <is>
          <t>Question for the vote: which pilot would you implement on Monday morning?</t>
        </is>
      </c>
    </row>
    <row r="5" ht="42" customHeight="1">
      <c r="A5" s="6" t="inlineStr">
        <is>
          <t>Order</t>
        </is>
      </c>
      <c r="B5" s="6" t="inlineStr">
        <is>
          <t>Room</t>
        </is>
      </c>
      <c r="C5" s="6" t="inlineStr">
        <is>
          <t>Hours back per PM per week</t>
        </is>
      </c>
      <c r="D5" s="6" t="inlineStr">
        <is>
          <t>Measured in a time test?</t>
        </is>
      </c>
      <c r="E5" s="6" t="inlineStr">
        <is>
          <t>Business impact</t>
        </is>
      </c>
      <c r="F5" s="6" t="inlineStr">
        <is>
          <t>Biggest surprise</t>
        </is>
      </c>
      <c r="G5" s="6" t="inlineStr">
        <is>
          <t>Guardrail</t>
        </is>
      </c>
      <c r="H5" s="6" t="inlineStr">
        <is>
          <t>Failure it prevents</t>
        </is>
      </c>
      <c r="I5" s="6" t="inlineStr">
        <is>
          <t>Pilot owner</t>
        </is>
      </c>
      <c r="J5" s="6" t="inlineStr">
        <is>
          <t>Votes</t>
        </is>
      </c>
      <c r="K5" s="6" t="inlineStr">
        <is>
          <t>Strongest guardrail (host marks x)</t>
        </is>
      </c>
      <c r="L5" s="6" t="inlineStr">
        <is>
          <t>Counted hours</t>
        </is>
      </c>
    </row>
    <row r="6" ht="30" customHeight="1">
      <c r="A6" s="7" t="n">
        <v>1</v>
      </c>
      <c r="B6" s="8" t="inlineStr">
        <is>
          <t>C2 Meetings Without Memory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9">
        <f>IF(AND(D6="Yes",ISNUMBER(C6)),C6,0)</f>
        <v/>
      </c>
    </row>
    <row r="7" ht="30" customHeight="1">
      <c r="A7" s="7" t="n">
        <v>2</v>
      </c>
      <c r="B7" s="8" t="inlineStr">
        <is>
          <t>C5 Lessons Nobody Learns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9">
        <f>IF(AND(D7="Yes",ISNUMBER(C7)),C7,0)</f>
        <v/>
      </c>
    </row>
    <row r="8" ht="30" customHeight="1">
      <c r="A8" s="7" t="n">
        <v>3</v>
      </c>
      <c r="B8" s="8" t="inlineStr">
        <is>
          <t>C1 Status Report Treadmill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9">
        <f>IF(AND(D8="Yes",ISNUMBER(C8)),C8,0)</f>
        <v/>
      </c>
    </row>
    <row r="9" ht="30" customHeight="1">
      <c r="A9" s="7" t="n">
        <v>4</v>
      </c>
      <c r="B9" s="8" t="inlineStr">
        <is>
          <t>C4 Decision Brief in 30 Minutes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9">
        <f>IF(AND(D9="Yes",ISNUMBER(C9)),C9,0)</f>
        <v/>
      </c>
    </row>
    <row r="10" ht="30" customHeight="1">
      <c r="A10" s="7" t="n">
        <v>5</v>
      </c>
      <c r="B10" s="8" t="inlineStr">
        <is>
          <t>C6 Change Request Ripple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9">
        <f>IF(AND(D10="Yes",ISNUMBER(C10)),C10,0)</f>
        <v/>
      </c>
    </row>
    <row r="11" ht="30" customHeight="1">
      <c r="A11" s="7" t="n">
        <v>6</v>
      </c>
      <c r="B11" s="8" t="inlineStr">
        <is>
          <t>C3 The Silent Risk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9">
        <f>IF(AND(D11="Yes",ISNUMBER(C11)),C11,0)</f>
        <v/>
      </c>
    </row>
    <row r="12" ht="30" customHeight="1">
      <c r="A12" s="7" t="n">
        <v>7</v>
      </c>
      <c r="B12" s="8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9">
        <f>IF(AND(D12="Yes",ISNUMBER(C12)),C12,0)</f>
        <v/>
      </c>
    </row>
    <row r="13" ht="30" customHeight="1">
      <c r="A13" s="7" t="n">
        <v>8</v>
      </c>
      <c r="B13" s="8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9">
        <f>IF(AND(D13="Yes",ISNUMBER(C13)),C13,0)</f>
        <v/>
      </c>
    </row>
    <row r="15">
      <c r="A15" s="10" t="inlineStr">
        <is>
          <t>Awards</t>
        </is>
      </c>
    </row>
    <row r="16" ht="34" customHeight="1">
      <c r="A16" s="11" t="n"/>
      <c r="B16" s="12" t="inlineStr">
        <is>
          <t>Monday Morning Pilot</t>
        </is>
      </c>
      <c r="C16" s="13">
        <f>IF(MAX(J6:J13)=0,"",INDEX(B6:B13,MATCH(MAX(J6:J13),J6:J13,0)))</f>
        <v/>
      </c>
      <c r="F16" s="14">
        <f>IF(MAX(J6:J13)=0,"",MAX(J6:J13)&amp;" votes"&amp;IF(COUNTIF(J6:J13,MAX(J6:J13))&gt;1," · tie with "&amp;(COUNTIF(J6:J13,MAX(J6:J13))-1)&amp;" more",""))</f>
        <v/>
      </c>
      <c r="G16" s="2" t="inlineStr">
        <is>
          <t>Most votes. One vote each, never for your own room.</t>
        </is>
      </c>
    </row>
    <row r="17" ht="34" customHeight="1">
      <c r="A17" s="11" t="n"/>
      <c r="B17" s="12" t="inlineStr">
        <is>
          <t>Most Hours Back</t>
        </is>
      </c>
      <c r="C17" s="13">
        <f>IF(MAX(L6:L13)=0,"",INDEX(B6:B13,MATCH(MAX(L6:L13),L6:L13,0)))</f>
        <v/>
      </c>
      <c r="F17" s="14">
        <f>IF(MAX(L6:L13)=0,"",MAX(L6:L13)&amp;" h per PM per week"&amp;IF(COUNTIF(L6:L13,MAX(L6:L13))&gt;1," · tie with "&amp;(COUNTIF(L6:L13,MAX(L6:L13))-1)&amp;" more",""))</f>
        <v/>
      </c>
      <c r="G17" s="2" t="inlineStr">
        <is>
          <t>Highest hours back per PM per week, measured in a time test.</t>
        </is>
      </c>
    </row>
    <row r="18" ht="34" customHeight="1">
      <c r="A18" s="11" t="n"/>
      <c r="B18" s="12" t="inlineStr">
        <is>
          <t>Strongest Guardrail</t>
        </is>
      </c>
      <c r="C18" s="13">
        <f>IFERROR(INDEX(B6:B13,MATCH("x",K6:K13,0)),"")</f>
        <v/>
      </c>
      <c r="F18" s="14">
        <f>IFERROR(INDEX(G6:G13,MATCH("x",K6:K13,0)),"")</f>
        <v/>
      </c>
      <c r="G18" s="2" t="inlineStr">
        <is>
          <t>The host’s pick: a guardrail written against a named failure and proven in the trust check.</t>
        </is>
      </c>
    </row>
    <row r="20">
      <c r="B20" s="3" t="inlineStr">
        <is>
          <t>Votes cast</t>
        </is>
      </c>
      <c r="C20" s="15">
        <f>SUM(J6:J13)</f>
        <v/>
      </c>
    </row>
    <row r="21">
      <c r="B21" s="3" t="inlineStr">
        <is>
          <t>Rooms reporting measured hours</t>
        </is>
      </c>
      <c r="C21" s="15">
        <f>COUNTIF(L6:L13,"&gt;0")</f>
        <v/>
      </c>
    </row>
    <row r="22">
      <c r="B22" s="3" t="inlineStr">
        <is>
          <t>Combined hours back per PM per week, all measured agents</t>
        </is>
      </c>
      <c r="C22" s="16">
        <f>SUM(L6:L13)</f>
        <v/>
      </c>
    </row>
    <row r="24">
      <c r="B24" s="2" t="inlineStr">
        <is>
          <t>Rooms are listed in debrief order. Use rows 7 and 8 for a swap card or a split room. “Counted hours” only counts hours marked as measured.</t>
        </is>
      </c>
    </row>
  </sheetData>
  <mergeCells count="8">
    <mergeCell ref="C16:E16"/>
    <mergeCell ref="G16:I16"/>
    <mergeCell ref="B24:I24"/>
    <mergeCell ref="C18:E18"/>
    <mergeCell ref="G18:I18"/>
    <mergeCell ref="C17:E17"/>
    <mergeCell ref="G17:I17"/>
    <mergeCell ref="C3:H3"/>
  </mergeCells>
  <conditionalFormatting sqref="A6:K13">
    <cfRule type="expression" priority="1" dxfId="0">
      <formula>AND($J6&gt;0,$J6=MAX($J$6:$J$13))</formula>
    </cfRule>
  </conditionalFormatting>
  <conditionalFormatting sqref="C6:C13">
    <cfRule type="expression" priority="2" dxfId="1">
      <formula>AND($L6&gt;0,$L6=MAX($L$6:$L$13))</formula>
    </cfRule>
  </conditionalFormatting>
  <dataValidations count="4">
    <dataValidation sqref="C6 C7 C8 C9 C10 C11 C12 C13" showDropDown="0" showInputMessage="0" showErrorMessage="1" allowBlank="0" error="Hours per PM per week, from 0 to 40." type="decimal" operator="between">
      <formula1>0</formula1>
      <formula2>40</formula2>
    </dataValidation>
    <dataValidation sqref="D6 D7 D8 D9 D10 D11 D12 D13" showDropDown="0" showInputMessage="0" showErrorMessage="0" allowBlank="1" type="list">
      <formula1>"Yes,No"</formula1>
    </dataValidation>
    <dataValidation sqref="J6 J7 J8 J9 J10 J11 J12 J13" showDropDown="0" showInputMessage="0" showErrorMessage="1" allowBlank="0" error="Whole number of votes." type="whole" operator="between">
      <formula1>0</formula1>
      <formula2>5000</formula2>
    </dataValidation>
    <dataValidation sqref="K6 K7 K8 K9 K10 K11 K12 K13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The Summit Debrief · 15 minutes</t>
        </is>
      </c>
    </row>
    <row r="2">
      <c r="A2" s="2" t="inlineStr">
        <is>
          <t>Straight after the rooms. People leave remembering the best pilot, the biggest hours returned and the strongest guardrail.</t>
        </is>
      </c>
    </row>
    <row r="4">
      <c r="A4" s="6" t="inlineStr">
        <is>
          <t>Minute</t>
        </is>
      </c>
      <c r="B4" s="6" t="inlineStr">
        <is>
          <t>What happens</t>
        </is>
      </c>
      <c r="C4" s="6" t="inlineStr">
        <is>
          <t>The host says</t>
        </is>
      </c>
    </row>
    <row r="5">
      <c r="A5" s="17" t="inlineStr">
        <is>
          <t>00–01</t>
        </is>
      </c>
      <c r="B5" s="7" t="inlineStr">
        <is>
          <t>Open. This scoreboard is on screen.</t>
        </is>
      </c>
      <c r="C5" s="7" t="inlineStr">
        <is>
          <t>“Six rooms built six agents. In fifteen minutes you choose the one you would implement on Monday morning.”</t>
        </is>
      </c>
    </row>
    <row r="6">
      <c r="A6" s="17" t="inlineStr">
        <is>
          <t>01–10</t>
        </is>
      </c>
      <c r="B6" s="7" t="inlineStr">
        <is>
          <t>Six debrief cards, 90 seconds each, in the order C2, C5, C1, C4, C6, C3. The host types each room’s figures.</t>
        </is>
      </c>
      <c r="C6" s="7" t="inlineStr">
        <is>
          <t>“Hours back, business impact, biggest surprise, one guardrail, owner. Ninety seconds.”</t>
        </is>
      </c>
    </row>
    <row r="7">
      <c r="A7" s="17" t="inlineStr">
        <is>
          <t>10–12</t>
        </is>
      </c>
      <c r="B7" s="7" t="inlineStr">
        <is>
          <t>The Monday-morning vote: one vote each, never for your own room.</t>
        </is>
      </c>
      <c r="C7" s="7" t="inlineStr">
        <is>
          <t>“Which pilot would you implement on Monday morning?”</t>
        </is>
      </c>
    </row>
    <row r="8">
      <c r="A8" s="17" t="inlineStr">
        <is>
          <t>12–14</t>
        </is>
      </c>
      <c r="B8" s="7" t="inlineStr">
        <is>
          <t>Three awards, read from the scoreboard.</t>
        </is>
      </c>
      <c r="C8" s="7" t="inlineStr">
        <is>
          <t>“Monday Morning Pilot. Most Hours Back. Strongest Guardrail.”</t>
        </is>
      </c>
    </row>
    <row r="9">
      <c r="A9" s="17" t="inlineStr">
        <is>
          <t>14–15</t>
        </is>
      </c>
      <c r="B9" s="7" t="inlineStr">
        <is>
          <t>Close. Every pilot owner stands up.</t>
        </is>
      </c>
      <c r="C9" s="7" t="inlineStr">
        <is>
          <t>“Owners, your first test starts on Monday. We check in on day 30.”</t>
        </is>
      </c>
    </row>
    <row r="11">
      <c r="A11" s="10" t="inlineStr">
        <is>
          <t>Each room’s 90-second card</t>
        </is>
      </c>
    </row>
    <row r="12">
      <c r="B12" s="11" t="inlineStr">
        <is>
          <t>[Room] built an agent that [does what] for [users].</t>
        </is>
      </c>
    </row>
    <row r="13">
      <c r="B13" s="11" t="inlineStr">
        <is>
          <t>Hours back: every PM gets [hours] a week.</t>
        </is>
      </c>
    </row>
    <row r="14">
      <c r="B14" s="11" t="inlineStr">
        <is>
          <t>Business impact: that time buys [what the project gains].</t>
        </is>
      </c>
    </row>
    <row r="15">
      <c r="B15" s="11" t="inlineStr">
        <is>
          <t>Biggest surprise: [what we did not expect].</t>
        </is>
      </c>
    </row>
    <row r="16">
      <c r="B16" s="11" t="inlineStr">
        <is>
          <t>Failure would look like [failure], so our guardrail is [guardrail].</t>
        </is>
      </c>
    </row>
    <row r="17">
      <c r="B17" s="11" t="inlineStr">
        <is>
          <t>[Owner] runs the first test by [date].</t>
        </is>
      </c>
    </row>
    <row r="19">
      <c r="B19" s="2" t="inlineStr">
        <is>
          <t>Only 45 seconds? Hours back, guardrail and owner. Never drop the vote.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9" customWidth="1" min="3" max="3"/>
    <col width="30" customWidth="1" min="4" max="4"/>
    <col width="12" customWidth="1" min="5" max="5"/>
    <col width="30" customWidth="1" min="6" max="6"/>
    <col width="44" customWidth="1" min="7" max="7"/>
  </cols>
  <sheetData>
    <row r="1">
      <c r="A1" s="1" t="inlineStr">
        <is>
          <t>All regions · WS2 roll-up after the summit</t>
        </is>
      </c>
    </row>
    <row r="2">
      <c r="A2" s="2" t="inlineStr">
        <is>
          <t>Copy each region’s three awards here. Card names start with the card code (C1 … C6) so wins can be counted.</t>
        </is>
      </c>
    </row>
    <row r="4">
      <c r="A4" s="6" t="inlineStr">
        <is>
          <t>Region</t>
        </is>
      </c>
      <c r="B4" s="6" t="inlineStr">
        <is>
          <t>Monday Morning Pilot</t>
        </is>
      </c>
      <c r="C4" s="6" t="inlineStr">
        <is>
          <t>Votes</t>
        </is>
      </c>
      <c r="D4" s="6" t="inlineStr">
        <is>
          <t>Most Hours Back</t>
        </is>
      </c>
      <c r="E4" s="6" t="inlineStr">
        <is>
          <t>Hours per PM per week</t>
        </is>
      </c>
      <c r="F4" s="6" t="inlineStr">
        <is>
          <t>Strongest Guardrail</t>
        </is>
      </c>
      <c r="G4" s="6" t="inlineStr">
        <is>
          <t>Guardrail text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9">
      <c r="A19" s="6" t="inlineStr">
        <is>
          <t>Card</t>
        </is>
      </c>
      <c r="B19" s="6" t="inlineStr">
        <is>
          <t>Monday Morning Pilot wins</t>
        </is>
      </c>
      <c r="C19" s="6" t="inlineStr">
        <is>
          <t>Votes won</t>
        </is>
      </c>
      <c r="D19" s="6" t="inlineStr">
        <is>
          <t>Most Hours Back wins</t>
        </is>
      </c>
      <c r="E19" s="6" t="inlineStr">
        <is>
          <t>Best measured hours</t>
        </is>
      </c>
      <c r="F19" s="6" t="inlineStr">
        <is>
          <t>Strongest Guardrail wins</t>
        </is>
      </c>
    </row>
    <row r="20">
      <c r="A20" s="17" t="inlineStr">
        <is>
          <t>C1</t>
        </is>
      </c>
      <c r="B20" s="9">
        <f>COUNTIF($B$5:$B$16,"C1*")</f>
        <v/>
      </c>
      <c r="C20" s="9">
        <f>SUMIF($B$5:$B$16,"C1*",$C$5:$C$16)</f>
        <v/>
      </c>
      <c r="D20" s="9">
        <f>COUNTIF($D$5:$D$16,"C1*")</f>
        <v/>
      </c>
      <c r="E20" s="9">
        <f>SUMPRODUCT(MAX((LEFT($D$5:$D$16,2)="C1")*$E$5:$E$16))</f>
        <v/>
      </c>
      <c r="F20" s="9">
        <f>COUNTIF($F$5:$F$16,"C1*")</f>
        <v/>
      </c>
    </row>
    <row r="21">
      <c r="A21" s="17" t="inlineStr">
        <is>
          <t>C2</t>
        </is>
      </c>
      <c r="B21" s="9">
        <f>COUNTIF($B$5:$B$16,"C2*")</f>
        <v/>
      </c>
      <c r="C21" s="9">
        <f>SUMIF($B$5:$B$16,"C2*",$C$5:$C$16)</f>
        <v/>
      </c>
      <c r="D21" s="9">
        <f>COUNTIF($D$5:$D$16,"C2*")</f>
        <v/>
      </c>
      <c r="E21" s="9">
        <f>SUMPRODUCT(MAX((LEFT($D$5:$D$16,2)="C2")*$E$5:$E$16))</f>
        <v/>
      </c>
      <c r="F21" s="9">
        <f>COUNTIF($F$5:$F$16,"C2*")</f>
        <v/>
      </c>
    </row>
    <row r="22">
      <c r="A22" s="17" t="inlineStr">
        <is>
          <t>C3</t>
        </is>
      </c>
      <c r="B22" s="9">
        <f>COUNTIF($B$5:$B$16,"C3*")</f>
        <v/>
      </c>
      <c r="C22" s="9">
        <f>SUMIF($B$5:$B$16,"C3*",$C$5:$C$16)</f>
        <v/>
      </c>
      <c r="D22" s="9">
        <f>COUNTIF($D$5:$D$16,"C3*")</f>
        <v/>
      </c>
      <c r="E22" s="9">
        <f>SUMPRODUCT(MAX((LEFT($D$5:$D$16,2)="C3")*$E$5:$E$16))</f>
        <v/>
      </c>
      <c r="F22" s="9">
        <f>COUNTIF($F$5:$F$16,"C3*")</f>
        <v/>
      </c>
    </row>
    <row r="23">
      <c r="A23" s="17" t="inlineStr">
        <is>
          <t>C4</t>
        </is>
      </c>
      <c r="B23" s="9">
        <f>COUNTIF($B$5:$B$16,"C4*")</f>
        <v/>
      </c>
      <c r="C23" s="9">
        <f>SUMIF($B$5:$B$16,"C4*",$C$5:$C$16)</f>
        <v/>
      </c>
      <c r="D23" s="9">
        <f>COUNTIF($D$5:$D$16,"C4*")</f>
        <v/>
      </c>
      <c r="E23" s="9">
        <f>SUMPRODUCT(MAX((LEFT($D$5:$D$16,2)="C4")*$E$5:$E$16))</f>
        <v/>
      </c>
      <c r="F23" s="9">
        <f>COUNTIF($F$5:$F$16,"C4*")</f>
        <v/>
      </c>
    </row>
    <row r="24">
      <c r="A24" s="17" t="inlineStr">
        <is>
          <t>C5</t>
        </is>
      </c>
      <c r="B24" s="9">
        <f>COUNTIF($B$5:$B$16,"C5*")</f>
        <v/>
      </c>
      <c r="C24" s="9">
        <f>SUMIF($B$5:$B$16,"C5*",$C$5:$C$16)</f>
        <v/>
      </c>
      <c r="D24" s="9">
        <f>COUNTIF($D$5:$D$16,"C5*")</f>
        <v/>
      </c>
      <c r="E24" s="9">
        <f>SUMPRODUCT(MAX((LEFT($D$5:$D$16,2)="C5")*$E$5:$E$16))</f>
        <v/>
      </c>
      <c r="F24" s="9">
        <f>COUNTIF($F$5:$F$16,"C5*")</f>
        <v/>
      </c>
    </row>
    <row r="25">
      <c r="A25" s="17" t="inlineStr">
        <is>
          <t>C6</t>
        </is>
      </c>
      <c r="B25" s="9">
        <f>COUNTIF($B$5:$B$16,"C6*")</f>
        <v/>
      </c>
      <c r="C25" s="9">
        <f>SUMIF($B$5:$B$16,"C6*",$C$5:$C$16)</f>
        <v/>
      </c>
      <c r="D25" s="9">
        <f>COUNTIF($D$5:$D$16,"C6*")</f>
        <v/>
      </c>
      <c r="E25" s="9">
        <f>SUMPRODUCT(MAX((LEFT($D$5:$D$16,2)="C6")*$E$5:$E$16))</f>
        <v/>
      </c>
      <c r="F25" s="9">
        <f>COUNTIF($F$5:$F$16,"C6*")</f>
        <v/>
      </c>
    </row>
    <row r="27">
      <c r="A27" s="3" t="inlineStr">
        <is>
          <t>Card with most Monday Morning Pilot wins</t>
        </is>
      </c>
      <c r="C27" s="18">
        <f>IF(MAX(B20:B25)=0,"",INDEX(A20:A25,MATCH(MAX(B20:B25),B20:B25,0)))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2026-09-30T12:43:50Z</dcterms:created>
  <dcterms:modified xmlns:dcterms="http://purl.org/dc/terms/" xmlns:xsi="http://www.w3.org/2001/XMLSchema-instance" xsi:type="dcterms:W3CDTF">2026-09-30T12:43:50Z</dcterms:modified>
</cp:coreProperties>
</file>